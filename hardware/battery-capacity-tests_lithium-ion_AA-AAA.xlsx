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va\Documents\GitHub\Coding\hardware\"/>
    </mc:Choice>
  </mc:AlternateContent>
  <xr:revisionPtr revIDLastSave="0" documentId="13_ncr:1_{93BC8CBD-FFBB-498B-AA68-9E0722722326}" xr6:coauthVersionLast="47" xr6:coauthVersionMax="47" xr10:uidLastSave="{00000000-0000-0000-0000-000000000000}"/>
  <bookViews>
    <workbookView xWindow="3510" yWindow="3510" windowWidth="38700" windowHeight="15345" xr2:uid="{E5D7BF72-F0C5-4096-89C0-8DC37475FB76}"/>
  </bookViews>
  <sheets>
    <sheet name="AA Batteries" sheetId="4" r:id="rId1"/>
    <sheet name="AAA Batteries" sheetId="3" r:id="rId2"/>
    <sheet name="Guid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" i="4"/>
  <c r="P3" i="4"/>
  <c r="P4" i="4"/>
  <c r="P5" i="4"/>
  <c r="P6" i="4"/>
  <c r="P7" i="4"/>
  <c r="P8" i="4"/>
  <c r="P10" i="4"/>
  <c r="P9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O17" i="4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3" i="4"/>
  <c r="S4" i="4"/>
  <c r="S5" i="4"/>
  <c r="S6" i="4"/>
  <c r="S7" i="4"/>
  <c r="S8" i="4"/>
  <c r="S2" i="4"/>
  <c r="S10" i="4"/>
  <c r="S9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O10" i="3"/>
  <c r="T10" i="3" s="1"/>
  <c r="O11" i="3"/>
  <c r="O12" i="3"/>
  <c r="O13" i="3"/>
  <c r="O14" i="3"/>
  <c r="O15" i="3"/>
  <c r="O16" i="3"/>
  <c r="O17" i="3"/>
  <c r="T17" i="3" s="1"/>
  <c r="O18" i="3"/>
  <c r="T18" i="3" s="1"/>
  <c r="O19" i="3"/>
  <c r="O20" i="3"/>
  <c r="O21" i="3"/>
  <c r="O12" i="4"/>
  <c r="O13" i="4"/>
  <c r="O14" i="4"/>
  <c r="O15" i="4"/>
  <c r="O16" i="4"/>
  <c r="O9" i="4"/>
  <c r="O11" i="4"/>
  <c r="O18" i="4"/>
  <c r="O19" i="4"/>
  <c r="O20" i="4"/>
  <c r="O21" i="4"/>
  <c r="O10" i="4"/>
  <c r="O22" i="4"/>
  <c r="O23" i="4"/>
  <c r="O24" i="4"/>
  <c r="O25" i="4"/>
  <c r="O2" i="4"/>
  <c r="O8" i="4"/>
  <c r="O7" i="4"/>
  <c r="O6" i="4"/>
  <c r="O5" i="4"/>
  <c r="O4" i="4"/>
  <c r="O3" i="4"/>
  <c r="O23" i="3"/>
  <c r="O24" i="3"/>
  <c r="O25" i="3"/>
  <c r="O9" i="3"/>
  <c r="T9" i="3" s="1"/>
  <c r="O2" i="3"/>
  <c r="T2" i="3" s="1"/>
  <c r="O22" i="3"/>
  <c r="O4" i="3"/>
  <c r="T4" i="3" s="1"/>
  <c r="O6" i="3"/>
  <c r="T6" i="3" s="1"/>
  <c r="O8" i="3"/>
  <c r="O5" i="3"/>
  <c r="O3" i="3"/>
  <c r="O7" i="3"/>
  <c r="T11" i="3" l="1"/>
  <c r="T15" i="3"/>
  <c r="T13" i="3"/>
  <c r="T14" i="3"/>
  <c r="T21" i="3"/>
  <c r="T20" i="3"/>
  <c r="T22" i="3"/>
  <c r="T12" i="3"/>
  <c r="T19" i="3"/>
  <c r="T25" i="3"/>
  <c r="T24" i="3"/>
  <c r="T16" i="3"/>
  <c r="T23" i="3"/>
  <c r="T11" i="4"/>
  <c r="T22" i="4"/>
  <c r="T24" i="4"/>
  <c r="T5" i="4"/>
  <c r="T4" i="4"/>
  <c r="T3" i="4"/>
  <c r="T23" i="4"/>
  <c r="T8" i="4"/>
  <c r="T2" i="4"/>
  <c r="T7" i="4"/>
  <c r="T25" i="4"/>
  <c r="T21" i="4"/>
  <c r="T18" i="4"/>
  <c r="T10" i="4"/>
  <c r="T20" i="4"/>
  <c r="T19" i="4"/>
  <c r="T7" i="3"/>
  <c r="T6" i="4"/>
  <c r="T8" i="3"/>
  <c r="T5" i="3"/>
  <c r="T3" i="3"/>
  <c r="T9" i="4"/>
  <c r="T16" i="4"/>
  <c r="T12" i="4"/>
  <c r="T17" i="4"/>
  <c r="T15" i="4"/>
  <c r="T13" i="4"/>
  <c r="T14" i="4"/>
</calcChain>
</file>

<file path=xl/sharedStrings.xml><?xml version="1.0" encoding="utf-8"?>
<sst xmlns="http://schemas.openxmlformats.org/spreadsheetml/2006/main" count="224" uniqueCount="54">
  <si>
    <t>EBL</t>
  </si>
  <si>
    <t>CHICNOD</t>
  </si>
  <si>
    <t>POWNERGY</t>
  </si>
  <si>
    <t>BUMP</t>
  </si>
  <si>
    <t>0.8 V</t>
  </si>
  <si>
    <t>AA</t>
  </si>
  <si>
    <t>AAA</t>
  </si>
  <si>
    <t>KILISTEELS</t>
  </si>
  <si>
    <t>Plug Loc</t>
  </si>
  <si>
    <t>USB Type</t>
  </si>
  <si>
    <t>USB C</t>
  </si>
  <si>
    <t>MICRO</t>
  </si>
  <si>
    <t>SIDE</t>
  </si>
  <si>
    <t>TOP</t>
  </si>
  <si>
    <t>0.35 A</t>
  </si>
  <si>
    <t>Splitter Incl.</t>
  </si>
  <si>
    <t>4-Way</t>
  </si>
  <si>
    <t>2-Way*2</t>
  </si>
  <si>
    <t>2-Way</t>
  </si>
  <si>
    <t>-</t>
  </si>
  <si>
    <t>DURACELL PROCELL</t>
  </si>
  <si>
    <t>ENERGIZER MAX</t>
  </si>
  <si>
    <t>LANKOO</t>
  </si>
  <si>
    <t>Battery Brand</t>
  </si>
  <si>
    <t>Form Factor</t>
  </si>
  <si>
    <t>2. Connect battery terminal to HW-586</t>
  </si>
  <si>
    <t>3. Insert battery to be tested into battery terminal</t>
  </si>
  <si>
    <t>Battery testing AA/AAA (or other 1.5V) batteries using HW-586 Module</t>
  </si>
  <si>
    <t>1. Connect resistance to HW-586 which causes the module to push ~0.35 Amps during testing (two of the white block resistors included with HW-586 wired in parallel should do)</t>
  </si>
  <si>
    <t>4. Plug a Micro USB cable into the HW-586 module, connect the other end of the cable into a USB power source and the HW-586 should power on</t>
  </si>
  <si>
    <t>5. Press "+" sign until "P00.8" is shown on the HW-586's screen (denotes a cutoff voltage of 0.8V)</t>
  </si>
  <si>
    <t>6. Press "OK" to confirm the cutoff voltage and the HW-586 will run until the battery reaches 0.8V</t>
  </si>
  <si>
    <t>e-CIRCUIT</t>
  </si>
  <si>
    <t>7. Once test is complete, the HW-586 will bleak rapidly, displaying the "Ah" (Amp-hours) result - Save this into desired spreadsheet or other record keeping location</t>
  </si>
  <si>
    <t>Capacity (mAh)
(Test #1)</t>
  </si>
  <si>
    <t>Capacity (mAh)
(Test #2)</t>
  </si>
  <si>
    <t>Capacity (mAh)
(Test #3)</t>
  </si>
  <si>
    <t>Capacity (mAh)
(Test #4)</t>
  </si>
  <si>
    <t>Capacity (mAh)
(Averaged)</t>
  </si>
  <si>
    <t>Package Price
($)</t>
  </si>
  <si>
    <t>Price per battery
($)</t>
  </si>
  <si>
    <t>Cutoff
(V)</t>
  </si>
  <si>
    <t>Current
(A)</t>
  </si>
  <si>
    <t>Capacity per Dollar (mAh)</t>
  </si>
  <si>
    <t>Chemistry</t>
  </si>
  <si>
    <t>Alkaline</t>
  </si>
  <si>
    <t>Lithium Ion</t>
  </si>
  <si>
    <t>ALLMAX</t>
  </si>
  <si>
    <t>Lithium</t>
  </si>
  <si>
    <t>Cycles
(Claimed)</t>
  </si>
  <si>
    <t>LEWATTGEND</t>
  </si>
  <si>
    <t>Pkg Qty</t>
  </si>
  <si>
    <t>Capacity (Claimed)
(mWh)</t>
  </si>
  <si>
    <t>Capacity (Claimed)
(mAh)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</si>
</sst>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mAh&quot;"/>
    <numFmt numFmtId="165" formatCode="&quot;$&quot;#,##0.00"/>
    <numFmt numFmtId="166" formatCode="0&quot; mWh&quot;"/>
  </numFmts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Fira Code Retina"/>
    </font>
    <font>
      <sz val="11"/>
      <color theme="1"/>
      <name val="Fira Code Retina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dotted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right"/>
    </xf>
    <xf numFmtId="166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top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 vertical="top" wrapText="1"/>
    </xf>
    <xf numFmtId="166" fontId="0" fillId="0" borderId="0" xfId="0" applyNumberFormat="1" applyAlignment="1">
      <alignment horizontal="right" vertical="top" wrapText="1"/>
    </xf>
    <xf numFmtId="1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44">
    <dxf>
      <numFmt numFmtId="164" formatCode="0&quot; mAh&quot;"/>
      <alignment horizontal="right" textRotation="0" indent="0" justifyLastLine="0" shrinkToFit="0" readingOrder="0"/>
    </dxf>
    <dxf>
      <numFmt numFmtId="165" formatCode="&quot;$&quot;#,##0.00"/>
      <alignment horizontal="right" textRotation="0" indent="0" justifyLastLine="0" shrinkToFit="0" readingOrder="0"/>
    </dxf>
    <dxf>
      <numFmt numFmtId="165" formatCode="&quot;$&quot;#,##0.00"/>
      <alignment horizontal="right" textRotation="0" indent="0" justifyLastLine="0" shrinkToFit="0" readingOrder="0"/>
    </dxf>
    <dxf>
      <numFmt numFmtId="1" formatCode="0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numFmt numFmtId="1" formatCode="0"/>
      <alignment horizontal="right" textRotation="0" indent="0" justifyLastLine="0" shrinkToFit="0" readingOrder="0"/>
    </dxf>
    <dxf>
      <numFmt numFmtId="166" formatCode="0&quot; mWh&quot;"/>
      <alignment horizontal="right" textRotation="0" indent="0" justifyLastLine="0" shrinkToFit="0" readingOrder="0"/>
      <border diagonalUp="0" diagonalDown="0" outline="0">
        <left/>
        <right style="dotted">
          <color indexed="64"/>
        </right>
        <top/>
        <bottom/>
      </border>
    </dxf>
    <dxf>
      <alignment horizontal="right" textRotation="0" indent="0" justifyLastLine="0" shrinkToFit="0" readingOrder="0"/>
      <border diagonalUp="0" diagonalDown="0" outline="0">
        <left/>
        <right style="dotted">
          <color indexed="64"/>
        </right>
        <top/>
        <bottom/>
      </border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  <border diagonalUp="0" diagonalDown="0" outline="0">
        <left/>
        <right style="dotted">
          <color indexed="64"/>
        </right>
        <top/>
        <bottom/>
      </border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vertical="top" textRotation="0" wrapText="1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5" formatCode="&quot;$&quot;#,##0.00"/>
      <alignment horizontal="right" textRotation="0" indent="0" justifyLastLine="0" shrinkToFit="0" readingOrder="0"/>
    </dxf>
    <dxf>
      <numFmt numFmtId="165" formatCode="&quot;$&quot;#,##0.00"/>
      <alignment horizontal="right" textRotation="0" indent="0" justifyLastLine="0" shrinkToFit="0" readingOrder="0"/>
    </dxf>
    <dxf>
      <numFmt numFmtId="1" formatCode="0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numFmt numFmtId="164" formatCode="0&quot; mAh&quot;"/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</dxf>
    <dxf>
      <numFmt numFmtId="1" formatCode="0"/>
      <alignment horizontal="right" textRotation="0" indent="0" justifyLastLine="0" shrinkToFit="0" readingOrder="0"/>
      <border diagonalUp="0" diagonalDown="0" outline="0">
        <left/>
        <right style="dotted">
          <color indexed="64"/>
        </right>
        <top/>
        <bottom/>
      </border>
    </dxf>
    <dxf>
      <numFmt numFmtId="166" formatCode="0&quot; mWh&quot;"/>
      <alignment horizontal="right" textRotation="0" indent="0" justifyLastLine="0" shrinkToFit="0" readingOrder="0"/>
      <border diagonalUp="0" diagonalDown="0" outline="0">
        <left/>
        <right style="dotted">
          <color indexed="64"/>
        </right>
        <top/>
        <bottom/>
      </border>
    </dxf>
    <dxf>
      <alignment horizontal="right" textRotation="0" indent="0" justifyLastLine="0" shrinkToFit="0" readingOrder="0"/>
      <border diagonalUp="0" diagonalDown="0" outline="0">
        <left/>
        <right style="dotted">
          <color indexed="64"/>
        </right>
        <top/>
        <bottom/>
      </border>
    </dxf>
    <dxf>
      <alignment horizontal="right" textRotation="0" indent="0" justifyLastLine="0" shrinkToFit="0" readingOrder="0"/>
    </dxf>
    <dxf>
      <alignment horizontal="right" textRotation="0" indent="0" justifyLastLine="0" shrinkToFit="0" readingOrder="0"/>
      <border diagonalUp="0" diagonalDown="0" outline="0">
        <left/>
        <right style="dotted">
          <color indexed="64"/>
        </right>
        <top/>
        <bottom/>
      </border>
    </dxf>
    <dxf>
      <alignment horizontal="right" textRotation="0" indent="0" justifyLastLine="0" shrinkToFit="0" readingOrder="0"/>
    </dxf>
    <dxf>
      <alignment horizontal="righ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C9E9D1"/>
      <color rgb="FFFFF4BD"/>
      <color rgb="FFFCCCCD"/>
      <color rgb="FFD3EDDA"/>
      <color rgb="FFFFF7D1"/>
      <color rgb="FFFFF9DD"/>
      <color rgb="FFFA9C9E"/>
      <color rgb="FFEED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EE4FAC-F828-4C69-BD4B-209D42AC9A11}" name="Table35" displayName="Table35" ref="A1:T25" totalsRowShown="0" headerRowDxfId="43" dataDxfId="42">
  <autoFilter ref="A1:T25" xr:uid="{9D7B16C1-0AF6-47A8-A5C4-2FD9C768AE5C}"/>
  <sortState xmlns:xlrd2="http://schemas.microsoft.com/office/spreadsheetml/2017/richdata2" ref="A2:T25">
    <sortCondition ref="O1:O25"/>
  </sortState>
  <tableColumns count="20">
    <tableColumn id="1" xr3:uid="{CBABFE4A-DB4B-478A-A196-6B10725888CE}" name="Battery Brand" dataDxfId="41"/>
    <tableColumn id="2" xr3:uid="{A4C15DEC-98CA-4B4A-AA6D-9D8629196B6D}" name="Form Factor" dataDxfId="40"/>
    <tableColumn id="18" xr3:uid="{5C2654CB-3147-4CBC-B035-883A9090E4E6}" name="Chemistry" dataDxfId="39"/>
    <tableColumn id="17" xr3:uid="{B724F57F-DD20-4601-9034-49594F6D6E8B}" name="Capacity (Claimed)_x000a_(mWh)" dataDxfId="38"/>
    <tableColumn id="19" xr3:uid="{50063B60-F127-47A2-B12E-DE841EA228C9}" name="Cycles_x000a_(Claimed)" dataDxfId="37"/>
    <tableColumn id="3" xr3:uid="{C5D6165E-2DC1-490A-8745-775A230CE959}" name="Plug Loc" dataDxfId="36"/>
    <tableColumn id="4" xr3:uid="{76E5C7FE-A9FC-4892-AA2F-F4BDBC0FE43E}" name="USB Type" dataDxfId="35"/>
    <tableColumn id="5" xr3:uid="{0B30B98B-6A8B-4BC5-AAA4-52D69388E8A1}" name="Splitter Incl." dataDxfId="34"/>
    <tableColumn id="6" xr3:uid="{679FA49F-E3B8-466B-A769-C279FED07A47}" name="Cutoff_x000a_(V)" dataDxfId="33"/>
    <tableColumn id="7" xr3:uid="{0749C5D5-9FE3-4320-A646-E78C6602DB2D}" name="Current_x000a_(A)" dataDxfId="32"/>
    <tableColumn id="8" xr3:uid="{FC5DC19F-46DB-49F0-B6EB-F8D8DFCC5119}" name="Capacity (mAh)_x000a_(Test #1)" dataDxfId="31"/>
    <tableColumn id="9" xr3:uid="{2C2758A8-2AF5-47E7-BF85-99A3D8B3BA30}" name="Capacity (mAh)_x000a_(Test #2)" dataDxfId="30"/>
    <tableColumn id="10" xr3:uid="{33DF939F-2A16-4823-AACA-AC4D2782FCC1}" name="Capacity (mAh)_x000a_(Test #3)" dataDxfId="29"/>
    <tableColumn id="11" xr3:uid="{DD1EEECD-4600-48C0-A802-DB79834A7A50}" name="Capacity (mAh)_x000a_(Test #4)" dataDxfId="28"/>
    <tableColumn id="12" xr3:uid="{815B7A98-D189-4530-8370-36E96E9386A8}" name="Capacity (mAh)_x000a_(Averaged)" dataDxfId="27">
      <calculatedColumnFormula>IFERROR(ROUND(AVERAGE(Table35[[#This Row],[Capacity (mAh)
(Test '#1)]:[Capacity (mAh)
(Test '#4)]]),0),"")</calculatedColumnFormula>
    </tableColumn>
    <tableColumn id="20" xr3:uid="{3360C052-07C6-4452-913B-050F6132A101}" name="Capacity (Claimed)_x000a_(mAh)" dataDxfId="26">
      <calculatedColumnFormula>IF(OR(ISBLANK(Table35[[#This Row],[Capacity (Claimed)
(mWh)]]),(Table35[[#This Row],[Capacity (Claimed)
(mWh)]]="-")),"-",(Table35[[#This Row],[Capacity (Claimed)
(mWh)]]/1.5))</calculatedColumnFormula>
    </tableColumn>
    <tableColumn id="13" xr3:uid="{FB50ABF7-3A80-4E6B-B421-533E61A624AE}" name="Pkg Qty" dataDxfId="25"/>
    <tableColumn id="14" xr3:uid="{BAAC862F-FE09-469C-B505-5B1D17C687E4}" name="Package Price_x000a_($)" dataDxfId="24"/>
    <tableColumn id="15" xr3:uid="{4DAA5FFD-D836-4119-968C-53A1BFEA75AC}" name="Price per battery_x000a_($)" dataDxfId="23">
      <calculatedColumnFormula>IFERROR(Table35[[#This Row],[Package Price
($)]]/Table35[[#This Row],[Pkg Qty]],"")</calculatedColumnFormula>
    </tableColumn>
    <tableColumn id="16" xr3:uid="{B90ADC68-DA10-4B4A-816B-714216F488CF}" name="Capacity per Dollar (mAh)" dataDxfId="22">
      <calculatedColumnFormula>IFERROR(Table35[[#This Row],[Capacity (mAh)
(Averaged)]]/Table35[[#This Row],[Price per battery
($)]],"")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7B16C1-0AF6-47A8-A5C4-2FD9C768AE5C}" name="Table3" displayName="Table3" ref="A1:T25" totalsRowShown="0" headerRowDxfId="21" dataDxfId="20">
  <autoFilter ref="A1:T25" xr:uid="{9D7B16C1-0AF6-47A8-A5C4-2FD9C768AE5C}"/>
  <sortState xmlns:xlrd2="http://schemas.microsoft.com/office/spreadsheetml/2017/richdata2" ref="A2:O25">
    <sortCondition ref="O1:O25"/>
  </sortState>
  <tableColumns count="20">
    <tableColumn id="1" xr3:uid="{5FD88E0E-EEC4-45EA-829E-F14B958619D1}" name="Battery Brand" dataDxfId="19"/>
    <tableColumn id="2" xr3:uid="{F0B5B50C-ECE4-4B5B-BC33-E41ECF72CB84}" name="Form Factor" dataDxfId="18"/>
    <tableColumn id="18" xr3:uid="{C6B4CF7F-2783-48EF-834F-E855B8EEFC07}" name="Chemistry" dataDxfId="17"/>
    <tableColumn id="19" xr3:uid="{1857E647-E805-4A0C-8C8A-C17947015AA1}" name="Capacity (Claimed)_x000a_(mWh)" dataDxfId="16"/>
    <tableColumn id="20" xr3:uid="{CA5411BB-E2BE-45E7-A1D8-C06ADEA8FB76}" name="Cycles_x000a_(Claimed)" dataDxfId="15"/>
    <tableColumn id="3" xr3:uid="{95C6D9E4-D9F2-41C1-B5B8-D5C12AADD7D5}" name="Plug Loc" dataDxfId="14"/>
    <tableColumn id="4" xr3:uid="{CC6956E7-B2BF-4E3E-AFF8-F43E275B8834}" name="USB Type" dataDxfId="13"/>
    <tableColumn id="5" xr3:uid="{DAF5776A-02B6-4652-BB4E-D674B4D5241F}" name="Splitter Incl." dataDxfId="12"/>
    <tableColumn id="6" xr3:uid="{C3CDCA6E-9575-4DE4-83C5-1379AF569F68}" name="Cutoff_x000a_(V)" dataDxfId="11"/>
    <tableColumn id="7" xr3:uid="{E0DF1034-A579-4CD7-B7E4-A3A74917FD27}" name="Current_x000a_(A)" dataDxfId="10"/>
    <tableColumn id="8" xr3:uid="{DDF1ED42-4BB3-47E1-8105-E90AD843ECD1}" name="Capacity (mAh)_x000a_(Test #1)" dataDxfId="9"/>
    <tableColumn id="9" xr3:uid="{2C98A263-D4F3-4057-9C06-F22A950F7DBA}" name="Capacity (mAh)_x000a_(Test #2)" dataDxfId="8"/>
    <tableColumn id="10" xr3:uid="{5361E4DF-E5D4-4566-BA3C-A08A8A66D480}" name="Capacity (mAh)_x000a_(Test #3)" dataDxfId="7"/>
    <tableColumn id="11" xr3:uid="{5D1D0FB3-8458-4FF6-B2DE-E36C691CFEAE}" name="Capacity (mAh)_x000a_(Test #4)" dataDxfId="6"/>
    <tableColumn id="12" xr3:uid="{63DC296B-3655-4FB6-BD00-EF6D486577A7}" name="Capacity (mAh)_x000a_(Averaged)" dataDxfId="5">
      <calculatedColumnFormula>IFERROR(ROUND(AVERAGE(Table3[[#This Row],[Capacity (mAh)
(Test '#1)]:[Capacity (mAh)
(Test '#4)]]),0),"")</calculatedColumnFormula>
    </tableColumn>
    <tableColumn id="23" xr3:uid="{0E35633C-A8BB-4319-980C-46C1D166ED6D}" name="Capacity (Claimed)_x000a_(mAh)" dataDxfId="4">
      <calculatedColumnFormula>IF(OR(ISBLANK(Table3[[#This Row],[Capacity (Claimed)
(mWh)]]),(Table3[[#This Row],[Capacity (Claimed)
(mWh)]]="-")),"-",(Table3[[#This Row],[Capacity (Claimed)
(mWh)]]/1.5))</calculatedColumnFormula>
    </tableColumn>
    <tableColumn id="13" xr3:uid="{B4A9F974-E29B-41F4-8269-54197CFA3C31}" name="Pkg Qty" dataDxfId="3"/>
    <tableColumn id="14" xr3:uid="{71EB4A3B-A497-47F8-9502-BC8C4453702F}" name="Package Price_x000a_($)" dataDxfId="2"/>
    <tableColumn id="15" xr3:uid="{3971A6B9-1C45-48AC-BFEB-B8DE558BE4BF}" name="Price per battery_x000a_($)" dataDxfId="1">
      <calculatedColumnFormula>IFERROR(Table3[[#This Row],[Package Price
($)]]/Table3[[#This Row],[Pkg Qty]],"")</calculatedColumnFormula>
    </tableColumn>
    <tableColumn id="16" xr3:uid="{28FCF180-4137-4956-B227-BA4FC12BB9E1}" name="Capacity per Dollar (mAh)" dataDxfId="0">
      <calculatedColumnFormula>IFERROR(Table3[[#This Row],[Capacity (mAh)
(Averaged)]]/Table3[[#This Row],[Price per battery
($)]],"")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8473-F5AD-4E7A-8759-03380A4A5160}">
  <dimension ref="A1:T25"/>
  <sheetViews>
    <sheetView tabSelected="1" zoomScale="115" zoomScaleNormal="115" workbookViewId="0">
      <pane xSplit="1" topLeftCell="C1" activePane="topRight" state="frozen"/>
      <selection pane="topRight" activeCell="O9" sqref="O9"/>
    </sheetView>
  </sheetViews>
  <sheetFormatPr defaultRowHeight="15" x14ac:dyDescent="0.25"/>
  <cols>
    <col min="1" max="1" width="18.140625" style="7" bestFit="1" customWidth="1"/>
    <col min="2" max="2" width="9.140625" style="7"/>
    <col min="3" max="3" width="12.28515625" style="7" bestFit="1" customWidth="1"/>
    <col min="4" max="4" width="11.140625" style="16" bestFit="1" customWidth="1"/>
    <col min="5" max="5" width="11.140625" style="14" customWidth="1"/>
    <col min="6" max="6" width="6.85546875" style="7" customWidth="1"/>
    <col min="7" max="7" width="7.5703125" style="7" customWidth="1"/>
    <col min="8" max="8" width="9.85546875" style="7" bestFit="1" customWidth="1"/>
    <col min="9" max="9" width="8.85546875" style="7" bestFit="1" customWidth="1"/>
    <col min="10" max="10" width="10" style="7" bestFit="1" customWidth="1"/>
    <col min="11" max="14" width="10.85546875" style="3" bestFit="1" customWidth="1"/>
    <col min="15" max="15" width="13.140625" style="3" bestFit="1" customWidth="1"/>
    <col min="16" max="16" width="13.140625" style="3" customWidth="1"/>
    <col min="17" max="17" width="5.28515625" style="14" customWidth="1"/>
    <col min="18" max="18" width="10.42578125" style="15" bestFit="1" customWidth="1"/>
    <col min="19" max="19" width="11.140625" style="15" bestFit="1" customWidth="1"/>
    <col min="20" max="20" width="10.5703125" style="3" customWidth="1"/>
    <col min="21" max="16384" width="9.140625" style="7"/>
  </cols>
  <sheetData>
    <row r="1" spans="1:20" s="5" customFormat="1" ht="45" x14ac:dyDescent="0.25">
      <c r="A1" s="5" t="s">
        <v>23</v>
      </c>
      <c r="B1" s="5" t="s">
        <v>24</v>
      </c>
      <c r="C1" s="5" t="s">
        <v>44</v>
      </c>
      <c r="D1" s="9" t="s">
        <v>52</v>
      </c>
      <c r="E1" s="10" t="s">
        <v>49</v>
      </c>
      <c r="F1" s="5" t="s">
        <v>8</v>
      </c>
      <c r="G1" s="5" t="s">
        <v>9</v>
      </c>
      <c r="H1" s="5" t="s">
        <v>15</v>
      </c>
      <c r="I1" s="5" t="s">
        <v>41</v>
      </c>
      <c r="J1" s="5" t="s">
        <v>42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53</v>
      </c>
      <c r="Q1" s="10" t="s">
        <v>51</v>
      </c>
      <c r="R1" s="11" t="s">
        <v>39</v>
      </c>
      <c r="S1" s="11" t="s">
        <v>40</v>
      </c>
      <c r="T1" s="8" t="s">
        <v>43</v>
      </c>
    </row>
    <row r="2" spans="1:20" x14ac:dyDescent="0.25">
      <c r="A2" s="6" t="s">
        <v>32</v>
      </c>
      <c r="B2" s="6" t="s">
        <v>5</v>
      </c>
      <c r="C2" s="6" t="s">
        <v>45</v>
      </c>
      <c r="D2" s="4" t="s">
        <v>19</v>
      </c>
      <c r="E2" s="12">
        <v>1</v>
      </c>
      <c r="F2" s="6" t="s">
        <v>19</v>
      </c>
      <c r="G2" s="6" t="s">
        <v>19</v>
      </c>
      <c r="H2" s="6" t="s">
        <v>19</v>
      </c>
      <c r="I2" s="6" t="s">
        <v>4</v>
      </c>
      <c r="J2" s="6" t="s">
        <v>14</v>
      </c>
      <c r="K2" s="13">
        <v>201</v>
      </c>
      <c r="L2" s="13">
        <v>304</v>
      </c>
      <c r="M2" s="13">
        <v>358</v>
      </c>
      <c r="N2" s="13">
        <v>365</v>
      </c>
      <c r="O2" s="3">
        <f>IFERROR(ROUND(AVERAGE(Table35[[#This Row],[Capacity (mAh)
(Test '#1)]:[Capacity (mAh)
(Test '#4)]]),0),"")</f>
        <v>307</v>
      </c>
      <c r="P2" s="3" t="str">
        <f>IF(OR(ISBLANK(Table35[[#This Row],[Capacity (Claimed)
(mWh)]]),(Table35[[#This Row],[Capacity (Claimed)
(mWh)]]="-")),"-",(Table35[[#This Row],[Capacity (Claimed)
(mWh)]]/1.5))</f>
        <v>-</v>
      </c>
      <c r="Q2" s="14">
        <v>8</v>
      </c>
      <c r="R2" s="15">
        <v>1.5</v>
      </c>
      <c r="S2" s="15">
        <f>IFERROR(Table35[[#This Row],[Package Price
($)]]/Table35[[#This Row],[Pkg Qty]],"")</f>
        <v>0.1875</v>
      </c>
      <c r="T2" s="3">
        <f>IFERROR(Table35[[#This Row],[Capacity (mAh)
(Averaged)]]/Table35[[#This Row],[Price per battery
($)]],"")</f>
        <v>1637.3333333333333</v>
      </c>
    </row>
    <row r="3" spans="1:20" x14ac:dyDescent="0.25">
      <c r="A3" s="6" t="s">
        <v>1</v>
      </c>
      <c r="B3" s="6" t="s">
        <v>5</v>
      </c>
      <c r="C3" s="6" t="s">
        <v>46</v>
      </c>
      <c r="D3" s="4">
        <v>3300</v>
      </c>
      <c r="E3" s="12"/>
      <c r="F3" s="6" t="s">
        <v>13</v>
      </c>
      <c r="G3" s="6" t="s">
        <v>10</v>
      </c>
      <c r="H3" s="6" t="s">
        <v>17</v>
      </c>
      <c r="I3" s="6" t="s">
        <v>4</v>
      </c>
      <c r="J3" s="6" t="s">
        <v>14</v>
      </c>
      <c r="K3" s="13">
        <v>1160</v>
      </c>
      <c r="L3" s="13">
        <v>1080</v>
      </c>
      <c r="M3" s="13">
        <v>1216</v>
      </c>
      <c r="N3" s="13">
        <v>1136</v>
      </c>
      <c r="O3" s="3">
        <f>IFERROR(ROUND(AVERAGE(Table35[[#This Row],[Capacity (mAh)
(Test '#1)]:[Capacity (mAh)
(Test '#4)]]),0),"")</f>
        <v>1148</v>
      </c>
      <c r="P3" s="3">
        <f>IF(OR(ISBLANK(Table35[[#This Row],[Capacity (Claimed)
(mWh)]]),(Table35[[#This Row],[Capacity (Claimed)
(mWh)]]="-")),"-",(Table35[[#This Row],[Capacity (Claimed)
(mWh)]]/1.5))</f>
        <v>2200</v>
      </c>
      <c r="Q3" s="14">
        <v>4</v>
      </c>
      <c r="R3" s="15">
        <v>17.09</v>
      </c>
      <c r="S3" s="15">
        <f>IFERROR(Table35[[#This Row],[Package Price
($)]]/Table35[[#This Row],[Pkg Qty]],"")</f>
        <v>4.2725</v>
      </c>
      <c r="T3" s="3">
        <f>IFERROR(Table35[[#This Row],[Capacity (mAh)
(Averaged)]]/Table35[[#This Row],[Price per battery
($)]],"")</f>
        <v>268.69514335868928</v>
      </c>
    </row>
    <row r="4" spans="1:20" x14ac:dyDescent="0.25">
      <c r="A4" s="6" t="s">
        <v>3</v>
      </c>
      <c r="B4" s="6" t="s">
        <v>5</v>
      </c>
      <c r="C4" s="6" t="s">
        <v>46</v>
      </c>
      <c r="D4" s="4">
        <v>2600</v>
      </c>
      <c r="E4" s="12">
        <v>1000</v>
      </c>
      <c r="F4" s="6" t="s">
        <v>12</v>
      </c>
      <c r="G4" s="6" t="s">
        <v>10</v>
      </c>
      <c r="H4" s="6" t="s">
        <v>16</v>
      </c>
      <c r="I4" s="6" t="s">
        <v>4</v>
      </c>
      <c r="J4" s="6" t="s">
        <v>14</v>
      </c>
      <c r="K4" s="13">
        <v>1476</v>
      </c>
      <c r="L4" s="13">
        <v>1486</v>
      </c>
      <c r="M4" s="13">
        <v>1382</v>
      </c>
      <c r="N4" s="13">
        <v>1500</v>
      </c>
      <c r="O4" s="3">
        <f>IFERROR(ROUND(AVERAGE(Table35[[#This Row],[Capacity (mAh)
(Test '#1)]:[Capacity (mAh)
(Test '#4)]]),0),"")</f>
        <v>1461</v>
      </c>
      <c r="P4" s="3">
        <f>IF(OR(ISBLANK(Table35[[#This Row],[Capacity (Claimed)
(mWh)]]),(Table35[[#This Row],[Capacity (Claimed)
(mWh)]]="-")),"-",(Table35[[#This Row],[Capacity (Claimed)
(mWh)]]/1.5))</f>
        <v>1733.3333333333333</v>
      </c>
      <c r="Q4" s="14">
        <v>4</v>
      </c>
      <c r="R4" s="15">
        <v>16.989999999999998</v>
      </c>
      <c r="S4" s="15">
        <f>IFERROR(Table35[[#This Row],[Package Price
($)]]/Table35[[#This Row],[Pkg Qty]],"")</f>
        <v>4.2474999999999996</v>
      </c>
      <c r="T4" s="3">
        <f>IFERROR(Table35[[#This Row],[Capacity (mAh)
(Averaged)]]/Table35[[#This Row],[Price per battery
($)]],"")</f>
        <v>343.96703943496175</v>
      </c>
    </row>
    <row r="5" spans="1:20" x14ac:dyDescent="0.25">
      <c r="A5" s="6" t="s">
        <v>22</v>
      </c>
      <c r="B5" s="6" t="s">
        <v>5</v>
      </c>
      <c r="C5" s="6" t="s">
        <v>46</v>
      </c>
      <c r="D5" s="4">
        <v>2600</v>
      </c>
      <c r="E5" s="12">
        <v>1200</v>
      </c>
      <c r="F5" s="6" t="s">
        <v>12</v>
      </c>
      <c r="G5" s="6" t="s">
        <v>10</v>
      </c>
      <c r="H5" s="6" t="s">
        <v>16</v>
      </c>
      <c r="I5" s="6" t="s">
        <v>4</v>
      </c>
      <c r="J5" s="6" t="s">
        <v>14</v>
      </c>
      <c r="K5" s="13">
        <v>1542</v>
      </c>
      <c r="L5" s="13">
        <v>1465</v>
      </c>
      <c r="M5" s="13">
        <v>1474</v>
      </c>
      <c r="N5" s="13">
        <v>1561</v>
      </c>
      <c r="O5" s="3">
        <f>IFERROR(ROUND(AVERAGE(Table35[[#This Row],[Capacity (mAh)
(Test '#1)]:[Capacity (mAh)
(Test '#4)]]),0),"")</f>
        <v>1511</v>
      </c>
      <c r="P5" s="3">
        <f>IF(OR(ISBLANK(Table35[[#This Row],[Capacity (Claimed)
(mWh)]]),(Table35[[#This Row],[Capacity (Claimed)
(mWh)]]="-")),"-",(Table35[[#This Row],[Capacity (Claimed)
(mWh)]]/1.5))</f>
        <v>1733.3333333333333</v>
      </c>
      <c r="Q5" s="14">
        <v>4</v>
      </c>
      <c r="R5" s="15">
        <v>18.98</v>
      </c>
      <c r="S5" s="15">
        <f>IFERROR(Table35[[#This Row],[Package Price
($)]]/Table35[[#This Row],[Pkg Qty]],"")</f>
        <v>4.7450000000000001</v>
      </c>
      <c r="T5" s="3">
        <f>IFERROR(Table35[[#This Row],[Capacity (mAh)
(Averaged)]]/Table35[[#This Row],[Price per battery
($)]],"")</f>
        <v>318.44046364594311</v>
      </c>
    </row>
    <row r="6" spans="1:20" x14ac:dyDescent="0.25">
      <c r="A6" s="6" t="s">
        <v>20</v>
      </c>
      <c r="B6" s="6" t="s">
        <v>5</v>
      </c>
      <c r="C6" s="6" t="s">
        <v>45</v>
      </c>
      <c r="D6" s="4">
        <v>4612</v>
      </c>
      <c r="E6" s="12">
        <v>1</v>
      </c>
      <c r="F6" s="6" t="s">
        <v>19</v>
      </c>
      <c r="G6" s="6" t="s">
        <v>19</v>
      </c>
      <c r="H6" s="6" t="s">
        <v>19</v>
      </c>
      <c r="I6" s="6" t="s">
        <v>4</v>
      </c>
      <c r="J6" s="6" t="s">
        <v>14</v>
      </c>
      <c r="K6" s="13">
        <v>1631</v>
      </c>
      <c r="L6" s="13">
        <v>1692</v>
      </c>
      <c r="M6" s="13">
        <v>1702</v>
      </c>
      <c r="N6" s="13">
        <v>1716</v>
      </c>
      <c r="O6" s="3">
        <f>IFERROR(ROUND(AVERAGE(Table35[[#This Row],[Capacity (mAh)
(Test '#1)]:[Capacity (mAh)
(Test '#4)]]),0),"")</f>
        <v>1685</v>
      </c>
      <c r="P6" s="3">
        <f>IF(OR(ISBLANK(Table35[[#This Row],[Capacity (Claimed)
(mWh)]]),(Table35[[#This Row],[Capacity (Claimed)
(mWh)]]="-")),"-",(Table35[[#This Row],[Capacity (Claimed)
(mWh)]]/1.5))</f>
        <v>3074.6666666666665</v>
      </c>
      <c r="Q6" s="14">
        <v>48</v>
      </c>
      <c r="R6" s="15">
        <v>24.99</v>
      </c>
      <c r="S6" s="15">
        <f>IFERROR(Table35[[#This Row],[Package Price
($)]]/Table35[[#This Row],[Pkg Qty]],"")</f>
        <v>0.520625</v>
      </c>
      <c r="T6" s="3">
        <f>IFERROR(Table35[[#This Row],[Capacity (mAh)
(Averaged)]]/Table35[[#This Row],[Price per battery
($)]],"")</f>
        <v>3236.4945978391356</v>
      </c>
    </row>
    <row r="7" spans="1:20" x14ac:dyDescent="0.25">
      <c r="A7" s="6" t="s">
        <v>2</v>
      </c>
      <c r="B7" s="6" t="s">
        <v>5</v>
      </c>
      <c r="C7" s="6" t="s">
        <v>46</v>
      </c>
      <c r="D7" s="4">
        <v>2960</v>
      </c>
      <c r="E7" s="12">
        <v>1000</v>
      </c>
      <c r="F7" s="6" t="s">
        <v>13</v>
      </c>
      <c r="G7" s="6" t="s">
        <v>11</v>
      </c>
      <c r="H7" s="6" t="s">
        <v>16</v>
      </c>
      <c r="I7" s="6" t="s">
        <v>4</v>
      </c>
      <c r="J7" s="6" t="s">
        <v>14</v>
      </c>
      <c r="K7" s="13">
        <v>1816</v>
      </c>
      <c r="L7" s="13">
        <v>1737</v>
      </c>
      <c r="M7" s="13">
        <v>1771</v>
      </c>
      <c r="N7" s="13">
        <v>1722</v>
      </c>
      <c r="O7" s="3">
        <f>IFERROR(ROUND(AVERAGE(Table35[[#This Row],[Capacity (mAh)
(Test '#1)]:[Capacity (mAh)
(Test '#4)]]),0),"")</f>
        <v>1762</v>
      </c>
      <c r="P7" s="3">
        <f>IF(OR(ISBLANK(Table35[[#This Row],[Capacity (Claimed)
(mWh)]]),(Table35[[#This Row],[Capacity (Claimed)
(mWh)]]="-")),"-",(Table35[[#This Row],[Capacity (Claimed)
(mWh)]]/1.5))</f>
        <v>1973.3333333333333</v>
      </c>
      <c r="Q7" s="14">
        <v>4</v>
      </c>
      <c r="R7" s="15">
        <v>24.99</v>
      </c>
      <c r="S7" s="15">
        <f>IFERROR(Table35[[#This Row],[Package Price
($)]]/Table35[[#This Row],[Pkg Qty]],"")</f>
        <v>6.2474999999999996</v>
      </c>
      <c r="T7" s="3">
        <f>IFERROR(Table35[[#This Row],[Capacity (mAh)
(Averaged)]]/Table35[[#This Row],[Price per battery
($)]],"")</f>
        <v>282.03281312525013</v>
      </c>
    </row>
    <row r="8" spans="1:20" x14ac:dyDescent="0.25">
      <c r="A8" s="6" t="s">
        <v>0</v>
      </c>
      <c r="B8" s="6" t="s">
        <v>5</v>
      </c>
      <c r="C8" s="6" t="s">
        <v>46</v>
      </c>
      <c r="D8" s="4">
        <v>3300</v>
      </c>
      <c r="E8" s="12">
        <v>1000</v>
      </c>
      <c r="F8" s="6" t="s">
        <v>12</v>
      </c>
      <c r="G8" s="6" t="s">
        <v>11</v>
      </c>
      <c r="H8" s="6" t="s">
        <v>17</v>
      </c>
      <c r="I8" s="6" t="s">
        <v>4</v>
      </c>
      <c r="J8" s="6" t="s">
        <v>14</v>
      </c>
      <c r="K8" s="13">
        <v>1821</v>
      </c>
      <c r="L8" s="13">
        <v>1693</v>
      </c>
      <c r="M8" s="13">
        <v>1853</v>
      </c>
      <c r="N8" s="13">
        <v>1741</v>
      </c>
      <c r="O8" s="3">
        <f>IFERROR(ROUND(AVERAGE(Table35[[#This Row],[Capacity (mAh)
(Test '#1)]:[Capacity (mAh)
(Test '#4)]]),0),"")</f>
        <v>1777</v>
      </c>
      <c r="P8" s="3">
        <f>IF(OR(ISBLANK(Table35[[#This Row],[Capacity (Claimed)
(mWh)]]),(Table35[[#This Row],[Capacity (Claimed)
(mWh)]]="-")),"-",(Table35[[#This Row],[Capacity (Claimed)
(mWh)]]/1.5))</f>
        <v>2200</v>
      </c>
      <c r="Q8" s="14">
        <v>4</v>
      </c>
      <c r="R8" s="15">
        <v>16.989999999999998</v>
      </c>
      <c r="S8" s="15">
        <f>IFERROR(Table35[[#This Row],[Package Price
($)]]/Table35[[#This Row],[Pkg Qty]],"")</f>
        <v>4.2474999999999996</v>
      </c>
      <c r="T8" s="3">
        <f>IFERROR(Table35[[#This Row],[Capacity (mAh)
(Averaged)]]/Table35[[#This Row],[Price per battery
($)]],"")</f>
        <v>418.36374337845797</v>
      </c>
    </row>
    <row r="9" spans="1:20" x14ac:dyDescent="0.25">
      <c r="A9" s="6" t="s">
        <v>0</v>
      </c>
      <c r="B9" s="6" t="s">
        <v>5</v>
      </c>
      <c r="C9" s="6" t="s">
        <v>46</v>
      </c>
      <c r="D9" s="4">
        <v>3500</v>
      </c>
      <c r="E9" s="12">
        <v>1600</v>
      </c>
      <c r="F9" s="6" t="s">
        <v>12</v>
      </c>
      <c r="G9" s="6" t="s">
        <v>10</v>
      </c>
      <c r="H9" s="6" t="s">
        <v>16</v>
      </c>
      <c r="I9" s="6" t="s">
        <v>4</v>
      </c>
      <c r="J9" s="6" t="s">
        <v>14</v>
      </c>
      <c r="K9" s="13">
        <v>2009</v>
      </c>
      <c r="L9" s="13">
        <v>1955</v>
      </c>
      <c r="M9" s="13">
        <v>1918</v>
      </c>
      <c r="N9" s="13">
        <v>1928</v>
      </c>
      <c r="O9" s="3">
        <f>IFERROR(ROUND(AVERAGE(Table35[[#This Row],[Capacity (mAh)
(Test '#1)]:[Capacity (mAh)
(Test '#4)]]),0),"")</f>
        <v>1953</v>
      </c>
      <c r="P9" s="3">
        <f>IF(OR(ISBLANK(Table35[[#This Row],[Capacity (Claimed)
(mWh)]]),(Table35[[#This Row],[Capacity (Claimed)
(mWh)]]="-")),"-",(Table35[[#This Row],[Capacity (Claimed)
(mWh)]]/1.5))</f>
        <v>2333.3333333333335</v>
      </c>
      <c r="Q9" s="14">
        <v>4</v>
      </c>
      <c r="R9" s="15">
        <v>18.989999999999998</v>
      </c>
      <c r="S9" s="15">
        <f>IFERROR(Table35[[#This Row],[Package Price
($)]]/Table35[[#This Row],[Pkg Qty]],"")</f>
        <v>4.7474999999999996</v>
      </c>
      <c r="T9" s="3">
        <f>IFERROR(Table35[[#This Row],[Capacity (mAh)
(Averaged)]]/Table35[[#This Row],[Price per battery
($)]],"")</f>
        <v>411.37440758293843</v>
      </c>
    </row>
    <row r="10" spans="1:20" x14ac:dyDescent="0.25">
      <c r="A10" s="6" t="s">
        <v>47</v>
      </c>
      <c r="B10" s="6" t="s">
        <v>5</v>
      </c>
      <c r="C10" s="6" t="s">
        <v>48</v>
      </c>
      <c r="D10" s="4">
        <v>4800</v>
      </c>
      <c r="E10" s="12">
        <v>1</v>
      </c>
      <c r="F10" s="6" t="s">
        <v>19</v>
      </c>
      <c r="G10" s="6" t="s">
        <v>19</v>
      </c>
      <c r="H10" s="6" t="s">
        <v>19</v>
      </c>
      <c r="I10" s="6" t="s">
        <v>4</v>
      </c>
      <c r="J10" s="6" t="s">
        <v>14</v>
      </c>
      <c r="K10" s="13">
        <v>3236</v>
      </c>
      <c r="L10" s="13">
        <v>3236</v>
      </c>
      <c r="M10" s="13">
        <v>3158</v>
      </c>
      <c r="N10" s="13">
        <v>3170</v>
      </c>
      <c r="O10" s="3">
        <f>IFERROR(ROUND(AVERAGE(Table35[[#This Row],[Capacity (mAh)
(Test '#1)]:[Capacity (mAh)
(Test '#4)]]),0),"")</f>
        <v>3200</v>
      </c>
      <c r="P10" s="3">
        <f>IF(OR(ISBLANK(Table35[[#This Row],[Capacity (Claimed)
(mWh)]]),(Table35[[#This Row],[Capacity (Claimed)
(mWh)]]="-")),"-",(Table35[[#This Row],[Capacity (Claimed)
(mWh)]]/1.5))</f>
        <v>3200</v>
      </c>
      <c r="Q10" s="14">
        <v>24</v>
      </c>
      <c r="R10" s="15">
        <v>26.99</v>
      </c>
      <c r="S10" s="15">
        <f>IFERROR(Table35[[#This Row],[Package Price
($)]]/Table35[[#This Row],[Pkg Qty]],"")</f>
        <v>1.1245833333333333</v>
      </c>
      <c r="T10" s="3">
        <f>IFERROR(Table35[[#This Row],[Capacity (mAh)
(Averaged)]]/Table35[[#This Row],[Price per battery
($)]],"")</f>
        <v>2845.4983327158207</v>
      </c>
    </row>
    <row r="11" spans="1:20" x14ac:dyDescent="0.25">
      <c r="A11" s="6"/>
      <c r="B11" s="6" t="s">
        <v>5</v>
      </c>
      <c r="C11" s="6"/>
      <c r="D11" s="4"/>
      <c r="E11" s="12"/>
      <c r="F11" s="6"/>
      <c r="G11" s="6"/>
      <c r="H11" s="6"/>
      <c r="I11" s="6"/>
      <c r="J11" s="6"/>
      <c r="K11" s="13"/>
      <c r="L11" s="13"/>
      <c r="M11" s="13"/>
      <c r="N11" s="13"/>
      <c r="O11" s="3" t="str">
        <f>IFERROR(ROUND(AVERAGE(Table35[[#This Row],[Capacity (mAh)
(Test '#1)]:[Capacity (mAh)
(Test '#4)]]),0),"")</f>
        <v/>
      </c>
      <c r="P11" s="3" t="str">
        <f>IF(OR(ISBLANK(Table35[[#This Row],[Capacity (Claimed)
(mWh)]]),(Table35[[#This Row],[Capacity (Claimed)
(mWh)]]="-")),"-",(Table35[[#This Row],[Capacity (Claimed)
(mWh)]]/1.5))</f>
        <v>-</v>
      </c>
      <c r="S11" s="15" t="str">
        <f>IFERROR(Table35[[#This Row],[Package Price
($)]]/Table35[[#This Row],[Pkg Qty]],"")</f>
        <v/>
      </c>
      <c r="T11" s="3" t="str">
        <f>IFERROR(Table35[[#This Row],[Capacity (mAh)
(Averaged)]]/Table35[[#This Row],[Price per battery
($)]],"")</f>
        <v/>
      </c>
    </row>
    <row r="12" spans="1:20" x14ac:dyDescent="0.25">
      <c r="A12" s="6"/>
      <c r="B12" s="6" t="s">
        <v>5</v>
      </c>
      <c r="C12" s="6"/>
      <c r="D12" s="4"/>
      <c r="E12" s="12"/>
      <c r="F12" s="6"/>
      <c r="G12" s="6"/>
      <c r="H12" s="6"/>
      <c r="I12" s="6"/>
      <c r="J12" s="6"/>
      <c r="K12" s="13"/>
      <c r="L12" s="13"/>
      <c r="M12" s="13"/>
      <c r="N12" s="13"/>
      <c r="O12" s="3" t="str">
        <f>IFERROR(ROUND(AVERAGE(Table35[[#This Row],[Capacity (mAh)
(Test '#1)]:[Capacity (mAh)
(Test '#4)]]),0),"")</f>
        <v/>
      </c>
      <c r="P12" s="3" t="str">
        <f>IF(OR(ISBLANK(Table35[[#This Row],[Capacity (Claimed)
(mWh)]]),(Table35[[#This Row],[Capacity (Claimed)
(mWh)]]="-")),"-",(Table35[[#This Row],[Capacity (Claimed)
(mWh)]]/1.5))</f>
        <v>-</v>
      </c>
      <c r="S12" s="15" t="str">
        <f>IFERROR(Table35[[#This Row],[Package Price
($)]]/Table35[[#This Row],[Pkg Qty]],"")</f>
        <v/>
      </c>
      <c r="T12" s="3" t="str">
        <f>IFERROR(Table35[[#This Row],[Capacity (mAh)
(Averaged)]]/Table35[[#This Row],[Price per battery
($)]],"")</f>
        <v/>
      </c>
    </row>
    <row r="13" spans="1:20" x14ac:dyDescent="0.25">
      <c r="A13" s="6"/>
      <c r="B13" s="6" t="s">
        <v>5</v>
      </c>
      <c r="C13" s="6"/>
      <c r="D13" s="4"/>
      <c r="E13" s="12"/>
      <c r="F13" s="6"/>
      <c r="G13" s="6"/>
      <c r="H13" s="6"/>
      <c r="I13" s="6"/>
      <c r="J13" s="6"/>
      <c r="K13" s="13"/>
      <c r="L13" s="13"/>
      <c r="M13" s="13"/>
      <c r="N13" s="13"/>
      <c r="O13" s="3" t="str">
        <f>IFERROR(ROUND(AVERAGE(Table35[[#This Row],[Capacity (mAh)
(Test '#1)]:[Capacity (mAh)
(Test '#4)]]),0),"")</f>
        <v/>
      </c>
      <c r="P13" s="3" t="str">
        <f>IF(OR(ISBLANK(Table35[[#This Row],[Capacity (Claimed)
(mWh)]]),(Table35[[#This Row],[Capacity (Claimed)
(mWh)]]="-")),"-",(Table35[[#This Row],[Capacity (Claimed)
(mWh)]]/1.5))</f>
        <v>-</v>
      </c>
      <c r="S13" s="15" t="str">
        <f>IFERROR(Table35[[#This Row],[Package Price
($)]]/Table35[[#This Row],[Pkg Qty]],"")</f>
        <v/>
      </c>
      <c r="T13" s="3" t="str">
        <f>IFERROR(Table35[[#This Row],[Capacity (mAh)
(Averaged)]]/Table35[[#This Row],[Price per battery
($)]],"")</f>
        <v/>
      </c>
    </row>
    <row r="14" spans="1:20" x14ac:dyDescent="0.25">
      <c r="A14" s="6"/>
      <c r="B14" s="6" t="s">
        <v>5</v>
      </c>
      <c r="C14" s="6"/>
      <c r="D14" s="4"/>
      <c r="E14" s="12"/>
      <c r="F14" s="6"/>
      <c r="G14" s="6"/>
      <c r="H14" s="6"/>
      <c r="I14" s="6"/>
      <c r="J14" s="6"/>
      <c r="K14" s="13"/>
      <c r="L14" s="13"/>
      <c r="M14" s="13"/>
      <c r="N14" s="13"/>
      <c r="O14" s="3" t="str">
        <f>IFERROR(ROUND(AVERAGE(Table35[[#This Row],[Capacity (mAh)
(Test '#1)]:[Capacity (mAh)
(Test '#4)]]),0),"")</f>
        <v/>
      </c>
      <c r="P14" s="3" t="str">
        <f>IF(OR(ISBLANK(Table35[[#This Row],[Capacity (Claimed)
(mWh)]]),(Table35[[#This Row],[Capacity (Claimed)
(mWh)]]="-")),"-",(Table35[[#This Row],[Capacity (Claimed)
(mWh)]]/1.5))</f>
        <v>-</v>
      </c>
      <c r="S14" s="15" t="str">
        <f>IFERROR(Table35[[#This Row],[Package Price
($)]]/Table35[[#This Row],[Pkg Qty]],"")</f>
        <v/>
      </c>
      <c r="T14" s="3" t="str">
        <f>IFERROR(Table35[[#This Row],[Capacity (mAh)
(Averaged)]]/Table35[[#This Row],[Price per battery
($)]],"")</f>
        <v/>
      </c>
    </row>
    <row r="15" spans="1:20" x14ac:dyDescent="0.25">
      <c r="A15" s="6"/>
      <c r="B15" s="6" t="s">
        <v>5</v>
      </c>
      <c r="C15" s="6"/>
      <c r="D15" s="4"/>
      <c r="E15" s="12"/>
      <c r="F15" s="6"/>
      <c r="G15" s="6"/>
      <c r="H15" s="6"/>
      <c r="I15" s="6"/>
      <c r="J15" s="6"/>
      <c r="K15" s="13"/>
      <c r="L15" s="13"/>
      <c r="M15" s="13"/>
      <c r="N15" s="13"/>
      <c r="O15" s="3" t="str">
        <f>IFERROR(ROUND(AVERAGE(Table35[[#This Row],[Capacity (mAh)
(Test '#1)]:[Capacity (mAh)
(Test '#4)]]),0),"")</f>
        <v/>
      </c>
      <c r="P15" s="3" t="str">
        <f>IF(OR(ISBLANK(Table35[[#This Row],[Capacity (Claimed)
(mWh)]]),(Table35[[#This Row],[Capacity (Claimed)
(mWh)]]="-")),"-",(Table35[[#This Row],[Capacity (Claimed)
(mWh)]]/1.5))</f>
        <v>-</v>
      </c>
      <c r="S15" s="15" t="str">
        <f>IFERROR(Table35[[#This Row],[Package Price
($)]]/Table35[[#This Row],[Pkg Qty]],"")</f>
        <v/>
      </c>
      <c r="T15" s="3" t="str">
        <f>IFERROR(Table35[[#This Row],[Capacity (mAh)
(Averaged)]]/Table35[[#This Row],[Price per battery
($)]],"")</f>
        <v/>
      </c>
    </row>
    <row r="16" spans="1:20" x14ac:dyDescent="0.25">
      <c r="A16" s="6"/>
      <c r="B16" s="6" t="s">
        <v>5</v>
      </c>
      <c r="C16" s="6"/>
      <c r="D16" s="4"/>
      <c r="E16" s="12"/>
      <c r="F16" s="6"/>
      <c r="G16" s="6"/>
      <c r="H16" s="6"/>
      <c r="I16" s="6"/>
      <c r="J16" s="6"/>
      <c r="K16" s="13"/>
      <c r="L16" s="13"/>
      <c r="M16" s="13"/>
      <c r="N16" s="13"/>
      <c r="O16" s="3" t="str">
        <f>IFERROR(ROUND(AVERAGE(Table35[[#This Row],[Capacity (mAh)
(Test '#1)]:[Capacity (mAh)
(Test '#4)]]),0),"")</f>
        <v/>
      </c>
      <c r="P16" s="3" t="str">
        <f>IF(OR(ISBLANK(Table35[[#This Row],[Capacity (Claimed)
(mWh)]]),(Table35[[#This Row],[Capacity (Claimed)
(mWh)]]="-")),"-",(Table35[[#This Row],[Capacity (Claimed)
(mWh)]]/1.5))</f>
        <v>-</v>
      </c>
      <c r="S16" s="15" t="str">
        <f>IFERROR(Table35[[#This Row],[Package Price
($)]]/Table35[[#This Row],[Pkg Qty]],"")</f>
        <v/>
      </c>
      <c r="T16" s="3" t="str">
        <f>IFERROR(Table35[[#This Row],[Capacity (mAh)
(Averaged)]]/Table35[[#This Row],[Price per battery
($)]],"")</f>
        <v/>
      </c>
    </row>
    <row r="17" spans="1:20" x14ac:dyDescent="0.25">
      <c r="A17" s="6"/>
      <c r="B17" s="6" t="s">
        <v>5</v>
      </c>
      <c r="C17" s="6"/>
      <c r="D17" s="4"/>
      <c r="E17" s="12"/>
      <c r="F17" s="6"/>
      <c r="G17" s="6"/>
      <c r="H17" s="6"/>
      <c r="I17" s="6"/>
      <c r="J17" s="6"/>
      <c r="K17" s="13"/>
      <c r="L17" s="13"/>
      <c r="M17" s="13"/>
      <c r="N17" s="13"/>
      <c r="O17" s="3" t="str">
        <f>IFERROR(ROUND(AVERAGE(Table35[[#This Row],[Capacity (mAh)
(Test '#1)]:[Capacity (mAh)
(Test '#4)]]),0),"")</f>
        <v/>
      </c>
      <c r="P17" s="3" t="str">
        <f>IF(OR(ISBLANK(Table35[[#This Row],[Capacity (Claimed)
(mWh)]]),(Table35[[#This Row],[Capacity (Claimed)
(mWh)]]="-")),"-",(Table35[[#This Row],[Capacity (Claimed)
(mWh)]]/1.5))</f>
        <v>-</v>
      </c>
      <c r="S17" s="15" t="str">
        <f>IFERROR(Table35[[#This Row],[Package Price
($)]]/Table35[[#This Row],[Pkg Qty]],"")</f>
        <v/>
      </c>
      <c r="T17" s="3" t="str">
        <f>IFERROR(Table35[[#This Row],[Capacity (mAh)
(Averaged)]]/Table35[[#This Row],[Price per battery
($)]],"")</f>
        <v/>
      </c>
    </row>
    <row r="18" spans="1:20" x14ac:dyDescent="0.25">
      <c r="A18" s="6"/>
      <c r="B18" s="6" t="s">
        <v>5</v>
      </c>
      <c r="C18" s="6"/>
      <c r="D18" s="4"/>
      <c r="E18" s="12"/>
      <c r="F18" s="6"/>
      <c r="G18" s="6"/>
      <c r="H18" s="6"/>
      <c r="I18" s="6"/>
      <c r="J18" s="6"/>
      <c r="K18" s="13"/>
      <c r="L18" s="13"/>
      <c r="M18" s="13"/>
      <c r="N18" s="13"/>
      <c r="O18" s="3" t="str">
        <f>IFERROR(ROUND(AVERAGE(Table35[[#This Row],[Capacity (mAh)
(Test '#1)]:[Capacity (mAh)
(Test '#4)]]),0),"")</f>
        <v/>
      </c>
      <c r="P18" s="3" t="str">
        <f>IF(OR(ISBLANK(Table35[[#This Row],[Capacity (Claimed)
(mWh)]]),(Table35[[#This Row],[Capacity (Claimed)
(mWh)]]="-")),"-",(Table35[[#This Row],[Capacity (Claimed)
(mWh)]]/1.5))</f>
        <v>-</v>
      </c>
      <c r="S18" s="15" t="str">
        <f>IFERROR(Table35[[#This Row],[Package Price
($)]]/Table35[[#This Row],[Pkg Qty]],"")</f>
        <v/>
      </c>
      <c r="T18" s="3" t="str">
        <f>IFERROR(Table35[[#This Row],[Capacity (mAh)
(Averaged)]]/Table35[[#This Row],[Price per battery
($)]],"")</f>
        <v/>
      </c>
    </row>
    <row r="19" spans="1:20" x14ac:dyDescent="0.25">
      <c r="A19" s="6"/>
      <c r="B19" s="6" t="s">
        <v>5</v>
      </c>
      <c r="C19" s="6"/>
      <c r="D19" s="4"/>
      <c r="E19" s="12"/>
      <c r="F19" s="6"/>
      <c r="G19" s="6"/>
      <c r="H19" s="6"/>
      <c r="I19" s="6"/>
      <c r="J19" s="6"/>
      <c r="K19" s="13"/>
      <c r="L19" s="13"/>
      <c r="M19" s="13"/>
      <c r="N19" s="13"/>
      <c r="O19" s="3" t="str">
        <f>IFERROR(ROUND(AVERAGE(Table35[[#This Row],[Capacity (mAh)
(Test '#1)]:[Capacity (mAh)
(Test '#4)]]),0),"")</f>
        <v/>
      </c>
      <c r="P19" s="3" t="str">
        <f>IF(OR(ISBLANK(Table35[[#This Row],[Capacity (Claimed)
(mWh)]]),(Table35[[#This Row],[Capacity (Claimed)
(mWh)]]="-")),"-",(Table35[[#This Row],[Capacity (Claimed)
(mWh)]]/1.5))</f>
        <v>-</v>
      </c>
      <c r="S19" s="15" t="str">
        <f>IFERROR(Table35[[#This Row],[Package Price
($)]]/Table35[[#This Row],[Pkg Qty]],"")</f>
        <v/>
      </c>
      <c r="T19" s="3" t="str">
        <f>IFERROR(Table35[[#This Row],[Capacity (mAh)
(Averaged)]]/Table35[[#This Row],[Price per battery
($)]],"")</f>
        <v/>
      </c>
    </row>
    <row r="20" spans="1:20" x14ac:dyDescent="0.25">
      <c r="A20" s="6"/>
      <c r="B20" s="6" t="s">
        <v>5</v>
      </c>
      <c r="C20" s="6"/>
      <c r="D20" s="4"/>
      <c r="E20" s="12"/>
      <c r="F20" s="6"/>
      <c r="G20" s="6"/>
      <c r="H20" s="6"/>
      <c r="I20" s="6"/>
      <c r="J20" s="6"/>
      <c r="K20" s="13"/>
      <c r="L20" s="13"/>
      <c r="M20" s="13"/>
      <c r="N20" s="13"/>
      <c r="O20" s="3" t="str">
        <f>IFERROR(ROUND(AVERAGE(Table35[[#This Row],[Capacity (mAh)
(Test '#1)]:[Capacity (mAh)
(Test '#4)]]),0),"")</f>
        <v/>
      </c>
      <c r="P20" s="3" t="str">
        <f>IF(OR(ISBLANK(Table35[[#This Row],[Capacity (Claimed)
(mWh)]]),(Table35[[#This Row],[Capacity (Claimed)
(mWh)]]="-")),"-",(Table35[[#This Row],[Capacity (Claimed)
(mWh)]]/1.5))</f>
        <v>-</v>
      </c>
      <c r="S20" s="15" t="str">
        <f>IFERROR(Table35[[#This Row],[Package Price
($)]]/Table35[[#This Row],[Pkg Qty]],"")</f>
        <v/>
      </c>
      <c r="T20" s="3" t="str">
        <f>IFERROR(Table35[[#This Row],[Capacity (mAh)
(Averaged)]]/Table35[[#This Row],[Price per battery
($)]],"")</f>
        <v/>
      </c>
    </row>
    <row r="21" spans="1:20" x14ac:dyDescent="0.25">
      <c r="A21" s="6"/>
      <c r="B21" s="6" t="s">
        <v>5</v>
      </c>
      <c r="C21" s="6"/>
      <c r="D21" s="4"/>
      <c r="E21" s="12"/>
      <c r="F21" s="6"/>
      <c r="G21" s="6"/>
      <c r="H21" s="6"/>
      <c r="I21" s="6"/>
      <c r="J21" s="6"/>
      <c r="K21" s="13"/>
      <c r="L21" s="13"/>
      <c r="M21" s="13"/>
      <c r="N21" s="13"/>
      <c r="O21" s="3" t="str">
        <f>IFERROR(ROUND(AVERAGE(Table35[[#This Row],[Capacity (mAh)
(Test '#1)]:[Capacity (mAh)
(Test '#4)]]),0),"")</f>
        <v/>
      </c>
      <c r="P21" s="3" t="str">
        <f>IF(OR(ISBLANK(Table35[[#This Row],[Capacity (Claimed)
(mWh)]]),(Table35[[#This Row],[Capacity (Claimed)
(mWh)]]="-")),"-",(Table35[[#This Row],[Capacity (Claimed)
(mWh)]]/1.5))</f>
        <v>-</v>
      </c>
      <c r="S21" s="15" t="str">
        <f>IFERROR(Table35[[#This Row],[Package Price
($)]]/Table35[[#This Row],[Pkg Qty]],"")</f>
        <v/>
      </c>
      <c r="T21" s="3" t="str">
        <f>IFERROR(Table35[[#This Row],[Capacity (mAh)
(Averaged)]]/Table35[[#This Row],[Price per battery
($)]],"")</f>
        <v/>
      </c>
    </row>
    <row r="22" spans="1:20" x14ac:dyDescent="0.25">
      <c r="A22" s="6"/>
      <c r="B22" s="6" t="s">
        <v>5</v>
      </c>
      <c r="C22" s="6"/>
      <c r="D22" s="4"/>
      <c r="E22" s="12"/>
      <c r="F22" s="6"/>
      <c r="G22" s="6"/>
      <c r="H22" s="6"/>
      <c r="I22" s="6"/>
      <c r="J22" s="6"/>
      <c r="K22" s="13"/>
      <c r="L22" s="13"/>
      <c r="M22" s="13"/>
      <c r="N22" s="13"/>
      <c r="O22" s="3" t="str">
        <f>IFERROR(ROUND(AVERAGE(Table35[[#This Row],[Capacity (mAh)
(Test '#1)]:[Capacity (mAh)
(Test '#4)]]),0),"")</f>
        <v/>
      </c>
      <c r="P22" s="3" t="str">
        <f>IF(OR(ISBLANK(Table35[[#This Row],[Capacity (Claimed)
(mWh)]]),(Table35[[#This Row],[Capacity (Claimed)
(mWh)]]="-")),"-",(Table35[[#This Row],[Capacity (Claimed)
(mWh)]]/1.5))</f>
        <v>-</v>
      </c>
      <c r="S22" s="15" t="str">
        <f>IFERROR(Table35[[#This Row],[Package Price
($)]]/Table35[[#This Row],[Pkg Qty]],"")</f>
        <v/>
      </c>
      <c r="T22" s="3" t="str">
        <f>IFERROR(Table35[[#This Row],[Capacity (mAh)
(Averaged)]]/Table35[[#This Row],[Price per battery
($)]],"")</f>
        <v/>
      </c>
    </row>
    <row r="23" spans="1:20" x14ac:dyDescent="0.25">
      <c r="A23" s="6"/>
      <c r="B23" s="6" t="s">
        <v>5</v>
      </c>
      <c r="C23" s="6"/>
      <c r="D23" s="4"/>
      <c r="E23" s="12"/>
      <c r="F23" s="6"/>
      <c r="G23" s="6"/>
      <c r="H23" s="6"/>
      <c r="I23" s="6"/>
      <c r="J23" s="6"/>
      <c r="K23" s="13"/>
      <c r="L23" s="13"/>
      <c r="M23" s="13"/>
      <c r="N23" s="13"/>
      <c r="O23" s="3" t="str">
        <f>IFERROR(ROUND(AVERAGE(Table35[[#This Row],[Capacity (mAh)
(Test '#1)]:[Capacity (mAh)
(Test '#4)]]),0),"")</f>
        <v/>
      </c>
      <c r="P23" s="3" t="str">
        <f>IF(OR(ISBLANK(Table35[[#This Row],[Capacity (Claimed)
(mWh)]]),(Table35[[#This Row],[Capacity (Claimed)
(mWh)]]="-")),"-",(Table35[[#This Row],[Capacity (Claimed)
(mWh)]]/1.5))</f>
        <v>-</v>
      </c>
      <c r="S23" s="15" t="str">
        <f>IFERROR(Table35[[#This Row],[Package Price
($)]]/Table35[[#This Row],[Pkg Qty]],"")</f>
        <v/>
      </c>
      <c r="T23" s="3" t="str">
        <f>IFERROR(Table35[[#This Row],[Capacity (mAh)
(Averaged)]]/Table35[[#This Row],[Price per battery
($)]],"")</f>
        <v/>
      </c>
    </row>
    <row r="24" spans="1:20" x14ac:dyDescent="0.25">
      <c r="A24" s="6"/>
      <c r="B24" s="6" t="s">
        <v>5</v>
      </c>
      <c r="C24" s="6"/>
      <c r="D24" s="4"/>
      <c r="E24" s="12"/>
      <c r="F24" s="6"/>
      <c r="G24" s="6"/>
      <c r="H24" s="6"/>
      <c r="I24" s="6"/>
      <c r="J24" s="6"/>
      <c r="K24" s="13"/>
      <c r="L24" s="13"/>
      <c r="M24" s="13"/>
      <c r="N24" s="13"/>
      <c r="O24" s="3" t="str">
        <f>IFERROR(ROUND(AVERAGE(Table35[[#This Row],[Capacity (mAh)
(Test '#1)]:[Capacity (mAh)
(Test '#4)]]),0),"")</f>
        <v/>
      </c>
      <c r="P24" s="3" t="str">
        <f>IF(OR(ISBLANK(Table35[[#This Row],[Capacity (Claimed)
(mWh)]]),(Table35[[#This Row],[Capacity (Claimed)
(mWh)]]="-")),"-",(Table35[[#This Row],[Capacity (Claimed)
(mWh)]]/1.5))</f>
        <v>-</v>
      </c>
      <c r="S24" s="15" t="str">
        <f>IFERROR(Table35[[#This Row],[Package Price
($)]]/Table35[[#This Row],[Pkg Qty]],"")</f>
        <v/>
      </c>
      <c r="T24" s="3" t="str">
        <f>IFERROR(Table35[[#This Row],[Capacity (mAh)
(Averaged)]]/Table35[[#This Row],[Price per battery
($)]],"")</f>
        <v/>
      </c>
    </row>
    <row r="25" spans="1:20" x14ac:dyDescent="0.25">
      <c r="A25" s="6"/>
      <c r="B25" s="6" t="s">
        <v>5</v>
      </c>
      <c r="C25" s="6"/>
      <c r="D25" s="4"/>
      <c r="E25" s="12"/>
      <c r="F25" s="6"/>
      <c r="G25" s="6"/>
      <c r="H25" s="6"/>
      <c r="I25" s="6"/>
      <c r="J25" s="6"/>
      <c r="K25" s="13"/>
      <c r="L25" s="13"/>
      <c r="M25" s="13"/>
      <c r="N25" s="13"/>
      <c r="O25" s="3" t="str">
        <f>IFERROR(ROUND(AVERAGE(Table35[[#This Row],[Capacity (mAh)
(Test '#1)]:[Capacity (mAh)
(Test '#4)]]),0),"")</f>
        <v/>
      </c>
      <c r="P25" s="3" t="str">
        <f>IF(OR(ISBLANK(Table35[[#This Row],[Capacity (Claimed)
(mWh)]]),(Table35[[#This Row],[Capacity (Claimed)
(mWh)]]="-")),"-",(Table35[[#This Row],[Capacity (Claimed)
(mWh)]]/1.5))</f>
        <v>-</v>
      </c>
      <c r="S25" s="15" t="str">
        <f>IFERROR(Table35[[#This Row],[Package Price
($)]]/Table35[[#This Row],[Pkg Qty]],"")</f>
        <v/>
      </c>
      <c r="T25" s="3" t="str">
        <f>IFERROR(Table35[[#This Row],[Capacity (mAh)
(Averaged)]]/Table35[[#This Row],[Price per battery
($)]],"")</f>
        <v/>
      </c>
    </row>
  </sheetData>
  <conditionalFormatting sqref="O2:P25">
    <cfRule type="colorScale" priority="3">
      <colorScale>
        <cfvo type="min"/>
        <cfvo type="percentile" val="50"/>
        <cfvo type="max"/>
        <color rgb="FFFCCCCD"/>
        <color rgb="FFFFF4BD"/>
        <color rgb="FFC9E9D1"/>
      </colorScale>
    </cfRule>
  </conditionalFormatting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D02D-1588-4CBA-A3C2-B7A49904AF92}">
  <dimension ref="A1:T25"/>
  <sheetViews>
    <sheetView zoomScale="115" zoomScaleNormal="115" workbookViewId="0">
      <pane xSplit="1" topLeftCell="B1" activePane="topRight" state="frozen"/>
      <selection pane="topRight" activeCell="O6" sqref="O6:P6"/>
    </sheetView>
  </sheetViews>
  <sheetFormatPr defaultRowHeight="15" x14ac:dyDescent="0.25"/>
  <cols>
    <col min="1" max="1" width="18.140625" style="7" bestFit="1" customWidth="1"/>
    <col min="2" max="2" width="9.140625" style="7"/>
    <col min="3" max="3" width="12.28515625" style="7" bestFit="1" customWidth="1"/>
    <col min="4" max="4" width="11.140625" style="16" bestFit="1" customWidth="1"/>
    <col min="5" max="5" width="11.140625" style="14" customWidth="1"/>
    <col min="6" max="6" width="6.85546875" style="7" customWidth="1"/>
    <col min="7" max="7" width="7.5703125" style="7" customWidth="1"/>
    <col min="8" max="8" width="9.85546875" style="7" bestFit="1" customWidth="1"/>
    <col min="9" max="9" width="8.85546875" style="7" bestFit="1" customWidth="1"/>
    <col min="10" max="10" width="10" style="7" bestFit="1" customWidth="1"/>
    <col min="11" max="14" width="10.85546875" style="3" bestFit="1" customWidth="1"/>
    <col min="15" max="15" width="13.140625" style="3" bestFit="1" customWidth="1"/>
    <col min="16" max="16" width="13.140625" style="3" customWidth="1"/>
    <col min="17" max="17" width="5.28515625" style="14" customWidth="1"/>
    <col min="18" max="18" width="10.42578125" style="15" bestFit="1" customWidth="1"/>
    <col min="19" max="19" width="11.140625" style="15" bestFit="1" customWidth="1"/>
    <col min="20" max="20" width="10.5703125" style="3" customWidth="1"/>
    <col min="21" max="16384" width="9.140625" style="7"/>
  </cols>
  <sheetData>
    <row r="1" spans="1:20" s="5" customFormat="1" ht="45" x14ac:dyDescent="0.25">
      <c r="A1" s="5" t="s">
        <v>23</v>
      </c>
      <c r="B1" s="5" t="s">
        <v>24</v>
      </c>
      <c r="C1" s="5" t="s">
        <v>44</v>
      </c>
      <c r="D1" s="9" t="s">
        <v>52</v>
      </c>
      <c r="E1" s="10" t="s">
        <v>49</v>
      </c>
      <c r="F1" s="5" t="s">
        <v>8</v>
      </c>
      <c r="G1" s="5" t="s">
        <v>9</v>
      </c>
      <c r="H1" s="5" t="s">
        <v>15</v>
      </c>
      <c r="I1" s="5" t="s">
        <v>41</v>
      </c>
      <c r="J1" s="5" t="s">
        <v>42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53</v>
      </c>
      <c r="Q1" s="10" t="s">
        <v>51</v>
      </c>
      <c r="R1" s="11" t="s">
        <v>39</v>
      </c>
      <c r="S1" s="11" t="s">
        <v>40</v>
      </c>
      <c r="T1" s="8" t="s">
        <v>43</v>
      </c>
    </row>
    <row r="2" spans="1:20" x14ac:dyDescent="0.25">
      <c r="A2" s="6" t="s">
        <v>32</v>
      </c>
      <c r="B2" s="6" t="s">
        <v>6</v>
      </c>
      <c r="C2" s="6" t="s">
        <v>45</v>
      </c>
      <c r="D2" s="4" t="s">
        <v>19</v>
      </c>
      <c r="E2" s="12">
        <v>1</v>
      </c>
      <c r="F2" s="6" t="s">
        <v>19</v>
      </c>
      <c r="G2" s="6" t="s">
        <v>19</v>
      </c>
      <c r="H2" s="6" t="s">
        <v>19</v>
      </c>
      <c r="I2" s="6" t="s">
        <v>4</v>
      </c>
      <c r="J2" s="6" t="s">
        <v>14</v>
      </c>
      <c r="K2" s="13">
        <v>127</v>
      </c>
      <c r="L2" s="13">
        <v>151</v>
      </c>
      <c r="M2" s="13">
        <v>131</v>
      </c>
      <c r="N2" s="13">
        <v>125</v>
      </c>
      <c r="O2" s="3">
        <f>IFERROR(ROUND(AVERAGE(Table3[[#This Row],[Capacity (mAh)
(Test '#1)]:[Capacity (mAh)
(Test '#4)]]),0),"")</f>
        <v>134</v>
      </c>
      <c r="P2" s="3" t="str">
        <f>IF(OR(ISBLANK(Table3[[#This Row],[Capacity (Claimed)
(mWh)]]),(Table3[[#This Row],[Capacity (Claimed)
(mWh)]]="-")),"-",(Table3[[#This Row],[Capacity (Claimed)
(mWh)]]/1.5))</f>
        <v>-</v>
      </c>
      <c r="Q2" s="14">
        <v>8</v>
      </c>
      <c r="R2" s="15">
        <v>1.5</v>
      </c>
      <c r="S2" s="15">
        <f>IFERROR(Table3[[#This Row],[Package Price
($)]]/Table3[[#This Row],[Pkg Qty]],"")</f>
        <v>0.1875</v>
      </c>
      <c r="T2" s="3">
        <f>IFERROR(Table3[[#This Row],[Capacity (mAh)
(Averaged)]]/Table3[[#This Row],[Price per battery
($)]],"")</f>
        <v>714.66666666666663</v>
      </c>
    </row>
    <row r="3" spans="1:20" x14ac:dyDescent="0.25">
      <c r="A3" s="6" t="s">
        <v>22</v>
      </c>
      <c r="B3" s="6" t="s">
        <v>6</v>
      </c>
      <c r="C3" s="6" t="s">
        <v>46</v>
      </c>
      <c r="D3" s="4">
        <v>550</v>
      </c>
      <c r="E3" s="12">
        <v>1200</v>
      </c>
      <c r="F3" s="6" t="s">
        <v>12</v>
      </c>
      <c r="G3" s="6" t="s">
        <v>10</v>
      </c>
      <c r="H3" s="6" t="s">
        <v>16</v>
      </c>
      <c r="I3" s="6" t="s">
        <v>4</v>
      </c>
      <c r="J3" s="6" t="s">
        <v>14</v>
      </c>
      <c r="K3" s="13">
        <v>379</v>
      </c>
      <c r="L3" s="13">
        <v>334</v>
      </c>
      <c r="M3" s="13">
        <v>403</v>
      </c>
      <c r="N3" s="13">
        <v>348</v>
      </c>
      <c r="O3" s="3">
        <f>IFERROR(ROUND(AVERAGE(Table3[[#This Row],[Capacity (mAh)
(Test '#1)]:[Capacity (mAh)
(Test '#4)]]),0),"")</f>
        <v>366</v>
      </c>
      <c r="P3" s="3">
        <f>IF(OR(ISBLANK(Table3[[#This Row],[Capacity (Claimed)
(mWh)]]),(Table3[[#This Row],[Capacity (Claimed)
(mWh)]]="-")),"-",(Table3[[#This Row],[Capacity (Claimed)
(mWh)]]/1.5))</f>
        <v>366.66666666666669</v>
      </c>
      <c r="Q3" s="14">
        <v>4</v>
      </c>
      <c r="R3" s="15">
        <v>16.98</v>
      </c>
      <c r="S3" s="15">
        <f>IFERROR(Table3[[#This Row],[Package Price
($)]]/Table3[[#This Row],[Pkg Qty]],"")</f>
        <v>4.2450000000000001</v>
      </c>
      <c r="T3" s="3">
        <f>IFERROR(Table3[[#This Row],[Capacity (mAh)
(Averaged)]]/Table3[[#This Row],[Price per battery
($)]],"")</f>
        <v>86.219081272084807</v>
      </c>
    </row>
    <row r="4" spans="1:20" x14ac:dyDescent="0.25">
      <c r="A4" s="6" t="s">
        <v>3</v>
      </c>
      <c r="B4" s="6" t="s">
        <v>6</v>
      </c>
      <c r="C4" s="6" t="s">
        <v>46</v>
      </c>
      <c r="D4" s="4">
        <v>750</v>
      </c>
      <c r="E4" s="12">
        <v>1000</v>
      </c>
      <c r="F4" s="6" t="s">
        <v>12</v>
      </c>
      <c r="G4" s="6" t="s">
        <v>10</v>
      </c>
      <c r="H4" s="6" t="s">
        <v>16</v>
      </c>
      <c r="I4" s="6" t="s">
        <v>4</v>
      </c>
      <c r="J4" s="6" t="s">
        <v>14</v>
      </c>
      <c r="K4" s="13">
        <v>377</v>
      </c>
      <c r="L4" s="13">
        <v>384</v>
      </c>
      <c r="M4" s="13">
        <v>372</v>
      </c>
      <c r="N4" s="13">
        <v>378</v>
      </c>
      <c r="O4" s="3">
        <f>IFERROR(ROUND(AVERAGE(Table3[[#This Row],[Capacity (mAh)
(Test '#1)]:[Capacity (mAh)
(Test '#4)]]),0),"")</f>
        <v>378</v>
      </c>
      <c r="P4" s="3">
        <f>IF(OR(ISBLANK(Table3[[#This Row],[Capacity (Claimed)
(mWh)]]),(Table3[[#This Row],[Capacity (Claimed)
(mWh)]]="-")),"-",(Table3[[#This Row],[Capacity (Claimed)
(mWh)]]/1.5))</f>
        <v>500</v>
      </c>
      <c r="Q4" s="14">
        <v>4</v>
      </c>
      <c r="R4" s="15">
        <v>16.989999999999998</v>
      </c>
      <c r="S4" s="15">
        <f>IFERROR(Table3[[#This Row],[Package Price
($)]]/Table3[[#This Row],[Pkg Qty]],"")</f>
        <v>4.2474999999999996</v>
      </c>
      <c r="T4" s="3">
        <f>IFERROR(Table3[[#This Row],[Capacity (mAh)
(Averaged)]]/Table3[[#This Row],[Price per battery
($)]],"")</f>
        <v>88.993525603296064</v>
      </c>
    </row>
    <row r="5" spans="1:20" x14ac:dyDescent="0.25">
      <c r="A5" s="6" t="s">
        <v>7</v>
      </c>
      <c r="B5" s="6" t="s">
        <v>6</v>
      </c>
      <c r="C5" s="6" t="s">
        <v>46</v>
      </c>
      <c r="D5" s="4">
        <v>900</v>
      </c>
      <c r="E5" s="12">
        <v>1200</v>
      </c>
      <c r="F5" s="6" t="s">
        <v>12</v>
      </c>
      <c r="G5" s="6" t="s">
        <v>10</v>
      </c>
      <c r="H5" s="6" t="s">
        <v>16</v>
      </c>
      <c r="I5" s="6" t="s">
        <v>4</v>
      </c>
      <c r="J5" s="6" t="s">
        <v>14</v>
      </c>
      <c r="K5" s="13">
        <v>347</v>
      </c>
      <c r="L5" s="13">
        <v>485</v>
      </c>
      <c r="M5" s="13">
        <v>485</v>
      </c>
      <c r="N5" s="13">
        <v>464</v>
      </c>
      <c r="O5" s="3">
        <f>IFERROR(ROUND(AVERAGE(Table3[[#This Row],[Capacity (mAh)
(Test '#1)]:[Capacity (mAh)
(Test '#4)]]),0),"")</f>
        <v>445</v>
      </c>
      <c r="P5" s="3">
        <f>IF(OR(ISBLANK(Table3[[#This Row],[Capacity (Claimed)
(mWh)]]),(Table3[[#This Row],[Capacity (Claimed)
(mWh)]]="-")),"-",(Table3[[#This Row],[Capacity (Claimed)
(mWh)]]/1.5))</f>
        <v>600</v>
      </c>
      <c r="Q5" s="14">
        <v>4</v>
      </c>
      <c r="R5" s="15">
        <v>15.99</v>
      </c>
      <c r="S5" s="15">
        <f>IFERROR(Table3[[#This Row],[Package Price
($)]]/Table3[[#This Row],[Pkg Qty]],"")</f>
        <v>3.9975000000000001</v>
      </c>
      <c r="T5" s="3">
        <f>IFERROR(Table3[[#This Row],[Capacity (mAh)
(Averaged)]]/Table3[[#This Row],[Price per battery
($)]],"")</f>
        <v>111.31957473420889</v>
      </c>
    </row>
    <row r="6" spans="1:20" x14ac:dyDescent="0.25">
      <c r="A6" s="6" t="s">
        <v>20</v>
      </c>
      <c r="B6" s="6" t="s">
        <v>6</v>
      </c>
      <c r="C6" s="6" t="s">
        <v>45</v>
      </c>
      <c r="D6" s="4">
        <v>1875</v>
      </c>
      <c r="E6" s="12">
        <v>1</v>
      </c>
      <c r="F6" s="6" t="s">
        <v>19</v>
      </c>
      <c r="G6" s="6" t="s">
        <v>19</v>
      </c>
      <c r="H6" s="6" t="s">
        <v>19</v>
      </c>
      <c r="I6" s="6" t="s">
        <v>4</v>
      </c>
      <c r="J6" s="6" t="s">
        <v>14</v>
      </c>
      <c r="K6" s="13">
        <v>502</v>
      </c>
      <c r="L6" s="13">
        <v>475</v>
      </c>
      <c r="M6" s="13">
        <v>468</v>
      </c>
      <c r="N6" s="13">
        <v>496</v>
      </c>
      <c r="O6" s="3">
        <f>IFERROR(ROUND(AVERAGE(Table3[[#This Row],[Capacity (mAh)
(Test '#1)]:[Capacity (mAh)
(Test '#4)]]),0),"")</f>
        <v>485</v>
      </c>
      <c r="P6" s="3">
        <f>IF(OR(ISBLANK(Table3[[#This Row],[Capacity (Claimed)
(mWh)]]),(Table3[[#This Row],[Capacity (Claimed)
(mWh)]]="-")),"-",(Table3[[#This Row],[Capacity (Claimed)
(mWh)]]/1.5))</f>
        <v>1250</v>
      </c>
      <c r="Q6" s="14">
        <v>48</v>
      </c>
      <c r="R6" s="15">
        <v>21.93</v>
      </c>
      <c r="S6" s="15">
        <f>IFERROR(Table3[[#This Row],[Package Price
($)]]/Table3[[#This Row],[Pkg Qty]],"")</f>
        <v>0.45687499999999998</v>
      </c>
      <c r="T6" s="3">
        <f>IFERROR(Table3[[#This Row],[Capacity (mAh)
(Averaged)]]/Table3[[#This Row],[Price per battery
($)]],"")</f>
        <v>1061.5595075239398</v>
      </c>
    </row>
    <row r="7" spans="1:20" x14ac:dyDescent="0.25">
      <c r="A7" s="6" t="s">
        <v>50</v>
      </c>
      <c r="B7" s="6" t="s">
        <v>6</v>
      </c>
      <c r="C7" s="6" t="s">
        <v>46</v>
      </c>
      <c r="D7" s="4">
        <v>1650</v>
      </c>
      <c r="E7" s="12">
        <v>1000</v>
      </c>
      <c r="F7" s="6" t="s">
        <v>13</v>
      </c>
      <c r="G7" s="6" t="s">
        <v>11</v>
      </c>
      <c r="H7" s="6" t="s">
        <v>18</v>
      </c>
      <c r="I7" s="6" t="s">
        <v>4</v>
      </c>
      <c r="J7" s="6" t="s">
        <v>14</v>
      </c>
      <c r="K7" s="13">
        <v>596</v>
      </c>
      <c r="L7" s="13">
        <v>593</v>
      </c>
      <c r="M7" s="13">
        <v>547</v>
      </c>
      <c r="N7" s="13">
        <v>574</v>
      </c>
      <c r="O7" s="3">
        <f>IFERROR(ROUND(AVERAGE(Table3[[#This Row],[Capacity (mAh)
(Test '#1)]:[Capacity (mAh)
(Test '#4)]]),0),"")</f>
        <v>578</v>
      </c>
      <c r="P7" s="3">
        <f>IF(OR(ISBLANK(Table3[[#This Row],[Capacity (Claimed)
(mWh)]]),(Table3[[#This Row],[Capacity (Claimed)
(mWh)]]="-")),"-",(Table3[[#This Row],[Capacity (Claimed)
(mWh)]]/1.5))</f>
        <v>1100</v>
      </c>
      <c r="Q7" s="14">
        <v>4</v>
      </c>
      <c r="R7" s="15">
        <v>16.989999999999998</v>
      </c>
      <c r="S7" s="15">
        <f>IFERROR(Table3[[#This Row],[Package Price
($)]]/Table3[[#This Row],[Pkg Qty]],"")</f>
        <v>4.2474999999999996</v>
      </c>
      <c r="T7" s="3">
        <f>IFERROR(Table3[[#This Row],[Capacity (mAh)
(Averaged)]]/Table3[[#This Row],[Price per battery
($)]],"")</f>
        <v>136.08004708652149</v>
      </c>
    </row>
    <row r="8" spans="1:20" x14ac:dyDescent="0.25">
      <c r="A8" s="6" t="s">
        <v>21</v>
      </c>
      <c r="B8" s="6" t="s">
        <v>6</v>
      </c>
      <c r="C8" s="6" t="s">
        <v>45</v>
      </c>
      <c r="D8" s="4">
        <v>1875</v>
      </c>
      <c r="E8" s="12">
        <v>1</v>
      </c>
      <c r="F8" s="6" t="s">
        <v>19</v>
      </c>
      <c r="G8" s="6" t="s">
        <v>19</v>
      </c>
      <c r="H8" s="6" t="s">
        <v>19</v>
      </c>
      <c r="I8" s="6" t="s">
        <v>4</v>
      </c>
      <c r="J8" s="6" t="s">
        <v>14</v>
      </c>
      <c r="K8" s="13">
        <v>605</v>
      </c>
      <c r="L8" s="13">
        <v>596</v>
      </c>
      <c r="M8" s="13">
        <v>620</v>
      </c>
      <c r="N8" s="13">
        <v>576</v>
      </c>
      <c r="O8" s="3">
        <f>IFERROR(ROUND(AVERAGE(Table3[[#This Row],[Capacity (mAh)
(Test '#1)]:[Capacity (mAh)
(Test '#4)]]),0),"")</f>
        <v>599</v>
      </c>
      <c r="P8" s="3">
        <f>IF(OR(ISBLANK(Table3[[#This Row],[Capacity (Claimed)
(mWh)]]),(Table3[[#This Row],[Capacity (Claimed)
(mWh)]]="-")),"-",(Table3[[#This Row],[Capacity (Claimed)
(mWh)]]/1.5))</f>
        <v>1250</v>
      </c>
      <c r="Q8" s="14">
        <v>16</v>
      </c>
      <c r="R8" s="15">
        <v>9.7899999999999991</v>
      </c>
      <c r="S8" s="15">
        <f>IFERROR(Table3[[#This Row],[Package Price
($)]]/Table3[[#This Row],[Pkg Qty]],"")</f>
        <v>0.61187499999999995</v>
      </c>
      <c r="T8" s="3">
        <f>IFERROR(Table3[[#This Row],[Capacity (mAh)
(Averaged)]]/Table3[[#This Row],[Price per battery
($)]],"")</f>
        <v>978.95812053115435</v>
      </c>
    </row>
    <row r="9" spans="1:20" x14ac:dyDescent="0.25">
      <c r="A9" s="6" t="s">
        <v>2</v>
      </c>
      <c r="B9" s="6" t="s">
        <v>6</v>
      </c>
      <c r="C9" s="6" t="s">
        <v>46</v>
      </c>
      <c r="D9" s="4">
        <v>1100</v>
      </c>
      <c r="E9" s="12">
        <v>1000</v>
      </c>
      <c r="F9" s="6" t="s">
        <v>13</v>
      </c>
      <c r="G9" s="6" t="s">
        <v>11</v>
      </c>
      <c r="H9" s="6" t="s">
        <v>16</v>
      </c>
      <c r="I9" s="6" t="s">
        <v>4</v>
      </c>
      <c r="J9" s="6" t="s">
        <v>14</v>
      </c>
      <c r="K9" s="13">
        <v>635</v>
      </c>
      <c r="L9" s="13">
        <v>635</v>
      </c>
      <c r="M9" s="13">
        <v>636</v>
      </c>
      <c r="N9" s="13">
        <v>652</v>
      </c>
      <c r="O9" s="3">
        <f>IFERROR(ROUND(AVERAGE(Table3[[#This Row],[Capacity (mAh)
(Test '#1)]:[Capacity (mAh)
(Test '#4)]]),0),"")</f>
        <v>640</v>
      </c>
      <c r="P9" s="3">
        <f>IF(OR(ISBLANK(Table3[[#This Row],[Capacity (Claimed)
(mWh)]]),(Table3[[#This Row],[Capacity (Claimed)
(mWh)]]="-")),"-",(Table3[[#This Row],[Capacity (Claimed)
(mWh)]]/1.5))</f>
        <v>733.33333333333337</v>
      </c>
      <c r="Q9" s="14">
        <v>4</v>
      </c>
      <c r="R9" s="15">
        <v>21.99</v>
      </c>
      <c r="S9" s="15">
        <f>IFERROR(Table3[[#This Row],[Package Price
($)]]/Table3[[#This Row],[Pkg Qty]],"")</f>
        <v>5.4974999999999996</v>
      </c>
      <c r="T9" s="3">
        <f>IFERROR(Table3[[#This Row],[Capacity (mAh)
(Averaged)]]/Table3[[#This Row],[Price per battery
($)]],"")</f>
        <v>116.41655297862665</v>
      </c>
    </row>
    <row r="10" spans="1:20" x14ac:dyDescent="0.25">
      <c r="A10" s="6" t="s">
        <v>47</v>
      </c>
      <c r="B10" s="6" t="s">
        <v>6</v>
      </c>
      <c r="C10" s="6" t="s">
        <v>48</v>
      </c>
      <c r="D10" s="4">
        <v>1800</v>
      </c>
      <c r="E10" s="12">
        <v>1</v>
      </c>
      <c r="F10" s="6" t="s">
        <v>19</v>
      </c>
      <c r="G10" s="6" t="s">
        <v>19</v>
      </c>
      <c r="H10" s="6" t="s">
        <v>19</v>
      </c>
      <c r="I10" s="6" t="s">
        <v>4</v>
      </c>
      <c r="J10" s="6" t="s">
        <v>14</v>
      </c>
      <c r="K10" s="13">
        <v>1201</v>
      </c>
      <c r="L10" s="13">
        <v>1227</v>
      </c>
      <c r="M10" s="13">
        <v>1201</v>
      </c>
      <c r="N10" s="13">
        <v>1209</v>
      </c>
      <c r="O10" s="3">
        <f>IFERROR(ROUND(AVERAGE(Table3[[#This Row],[Capacity (mAh)
(Test '#1)]:[Capacity (mAh)
(Test '#4)]]),0),"")</f>
        <v>1210</v>
      </c>
      <c r="P10" s="3">
        <f>IF(OR(ISBLANK(Table3[[#This Row],[Capacity (Claimed)
(mWh)]]),(Table3[[#This Row],[Capacity (Claimed)
(mWh)]]="-")),"-",(Table3[[#This Row],[Capacity (Claimed)
(mWh)]]/1.5))</f>
        <v>1200</v>
      </c>
      <c r="Q10" s="14">
        <v>24</v>
      </c>
      <c r="R10" s="15">
        <v>24.99</v>
      </c>
      <c r="S10" s="15">
        <f>IFERROR(Table3[[#This Row],[Package Price
($)]]/Table3[[#This Row],[Pkg Qty]],"")</f>
        <v>1.04125</v>
      </c>
      <c r="T10" s="3">
        <f>IFERROR(Table3[[#This Row],[Capacity (mAh)
(Averaged)]]/Table3[[#This Row],[Price per battery
($)]],"")</f>
        <v>1162.0648259303721</v>
      </c>
    </row>
    <row r="11" spans="1:20" x14ac:dyDescent="0.25">
      <c r="A11" s="6"/>
      <c r="B11" s="6" t="s">
        <v>6</v>
      </c>
      <c r="C11" s="6"/>
      <c r="D11" s="4"/>
      <c r="E11" s="12"/>
      <c r="F11" s="6"/>
      <c r="G11" s="6"/>
      <c r="H11" s="6"/>
      <c r="I11" s="6"/>
      <c r="J11" s="6"/>
      <c r="K11" s="13"/>
      <c r="L11" s="13"/>
      <c r="M11" s="13"/>
      <c r="N11" s="13"/>
      <c r="O11" s="3" t="str">
        <f>IFERROR(ROUND(AVERAGE(Table3[[#This Row],[Capacity (mAh)
(Test '#1)]:[Capacity (mAh)
(Test '#4)]]),0),"")</f>
        <v/>
      </c>
      <c r="P11" s="3" t="str">
        <f>IF(OR(ISBLANK(Table3[[#This Row],[Capacity (Claimed)
(mWh)]]),(Table3[[#This Row],[Capacity (Claimed)
(mWh)]]="-")),"-",(Table3[[#This Row],[Capacity (Claimed)
(mWh)]]/1.5))</f>
        <v>-</v>
      </c>
      <c r="S11" s="15" t="str">
        <f>IFERROR(Table3[[#This Row],[Package Price
($)]]/Table3[[#This Row],[Pkg Qty]],"")</f>
        <v/>
      </c>
      <c r="T11" s="3" t="str">
        <f>IFERROR(Table3[[#This Row],[Capacity (mAh)
(Averaged)]]/Table3[[#This Row],[Price per battery
($)]],"")</f>
        <v/>
      </c>
    </row>
    <row r="12" spans="1:20" x14ac:dyDescent="0.25">
      <c r="A12" s="6"/>
      <c r="B12" s="6" t="s">
        <v>6</v>
      </c>
      <c r="C12" s="6"/>
      <c r="D12" s="4"/>
      <c r="E12" s="12"/>
      <c r="F12" s="6"/>
      <c r="G12" s="6"/>
      <c r="H12" s="6"/>
      <c r="I12" s="6"/>
      <c r="J12" s="6"/>
      <c r="K12" s="13"/>
      <c r="L12" s="13"/>
      <c r="M12" s="13"/>
      <c r="N12" s="13"/>
      <c r="O12" s="3" t="str">
        <f>IFERROR(ROUND(AVERAGE(Table3[[#This Row],[Capacity (mAh)
(Test '#1)]:[Capacity (mAh)
(Test '#4)]]),0),"")</f>
        <v/>
      </c>
      <c r="P12" s="3" t="str">
        <f>IF(OR(ISBLANK(Table3[[#This Row],[Capacity (Claimed)
(mWh)]]),(Table3[[#This Row],[Capacity (Claimed)
(mWh)]]="-")),"-",(Table3[[#This Row],[Capacity (Claimed)
(mWh)]]/1.5))</f>
        <v>-</v>
      </c>
      <c r="S12" s="15" t="str">
        <f>IFERROR(Table3[[#This Row],[Package Price
($)]]/Table3[[#This Row],[Pkg Qty]],"")</f>
        <v/>
      </c>
      <c r="T12" s="3" t="str">
        <f>IFERROR(Table3[[#This Row],[Capacity (mAh)
(Averaged)]]/Table3[[#This Row],[Price per battery
($)]],"")</f>
        <v/>
      </c>
    </row>
    <row r="13" spans="1:20" x14ac:dyDescent="0.25">
      <c r="A13" s="6"/>
      <c r="B13" s="6" t="s">
        <v>6</v>
      </c>
      <c r="C13" s="6"/>
      <c r="D13" s="4"/>
      <c r="E13" s="12"/>
      <c r="F13" s="6"/>
      <c r="G13" s="6"/>
      <c r="H13" s="6"/>
      <c r="I13" s="6"/>
      <c r="J13" s="6"/>
      <c r="K13" s="13"/>
      <c r="L13" s="13"/>
      <c r="M13" s="13"/>
      <c r="N13" s="13"/>
      <c r="O13" s="3" t="str">
        <f>IFERROR(ROUND(AVERAGE(Table3[[#This Row],[Capacity (mAh)
(Test '#1)]:[Capacity (mAh)
(Test '#4)]]),0),"")</f>
        <v/>
      </c>
      <c r="P13" s="3" t="str">
        <f>IF(OR(ISBLANK(Table3[[#This Row],[Capacity (Claimed)
(mWh)]]),(Table3[[#This Row],[Capacity (Claimed)
(mWh)]]="-")),"-",(Table3[[#This Row],[Capacity (Claimed)
(mWh)]]/1.5))</f>
        <v>-</v>
      </c>
      <c r="S13" s="15" t="str">
        <f>IFERROR(Table3[[#This Row],[Package Price
($)]]/Table3[[#This Row],[Pkg Qty]],"")</f>
        <v/>
      </c>
      <c r="T13" s="3" t="str">
        <f>IFERROR(Table3[[#This Row],[Capacity (mAh)
(Averaged)]]/Table3[[#This Row],[Price per battery
($)]],"")</f>
        <v/>
      </c>
    </row>
    <row r="14" spans="1:20" x14ac:dyDescent="0.25">
      <c r="A14" s="6"/>
      <c r="B14" s="6" t="s">
        <v>6</v>
      </c>
      <c r="C14" s="6"/>
      <c r="D14" s="4"/>
      <c r="E14" s="12"/>
      <c r="F14" s="6"/>
      <c r="G14" s="6"/>
      <c r="H14" s="6"/>
      <c r="I14" s="6"/>
      <c r="J14" s="6"/>
      <c r="K14" s="13"/>
      <c r="L14" s="13"/>
      <c r="M14" s="13"/>
      <c r="N14" s="13"/>
      <c r="O14" s="3" t="str">
        <f>IFERROR(ROUND(AVERAGE(Table3[[#This Row],[Capacity (mAh)
(Test '#1)]:[Capacity (mAh)
(Test '#4)]]),0),"")</f>
        <v/>
      </c>
      <c r="P14" s="3" t="str">
        <f>IF(OR(ISBLANK(Table3[[#This Row],[Capacity (Claimed)
(mWh)]]),(Table3[[#This Row],[Capacity (Claimed)
(mWh)]]="-")),"-",(Table3[[#This Row],[Capacity (Claimed)
(mWh)]]/1.5))</f>
        <v>-</v>
      </c>
      <c r="S14" s="15" t="str">
        <f>IFERROR(Table3[[#This Row],[Package Price
($)]]/Table3[[#This Row],[Pkg Qty]],"")</f>
        <v/>
      </c>
      <c r="T14" s="3" t="str">
        <f>IFERROR(Table3[[#This Row],[Capacity (mAh)
(Averaged)]]/Table3[[#This Row],[Price per battery
($)]],"")</f>
        <v/>
      </c>
    </row>
    <row r="15" spans="1:20" x14ac:dyDescent="0.25">
      <c r="A15" s="6"/>
      <c r="B15" s="6" t="s">
        <v>6</v>
      </c>
      <c r="C15" s="6"/>
      <c r="D15" s="4"/>
      <c r="E15" s="12"/>
      <c r="F15" s="6"/>
      <c r="G15" s="6"/>
      <c r="H15" s="6"/>
      <c r="I15" s="6"/>
      <c r="J15" s="6"/>
      <c r="K15" s="13"/>
      <c r="L15" s="13"/>
      <c r="M15" s="13"/>
      <c r="N15" s="13"/>
      <c r="O15" s="3" t="str">
        <f>IFERROR(ROUND(AVERAGE(Table3[[#This Row],[Capacity (mAh)
(Test '#1)]:[Capacity (mAh)
(Test '#4)]]),0),"")</f>
        <v/>
      </c>
      <c r="P15" s="3" t="str">
        <f>IF(OR(ISBLANK(Table3[[#This Row],[Capacity (Claimed)
(mWh)]]),(Table3[[#This Row],[Capacity (Claimed)
(mWh)]]="-")),"-",(Table3[[#This Row],[Capacity (Claimed)
(mWh)]]/1.5))</f>
        <v>-</v>
      </c>
      <c r="S15" s="15" t="str">
        <f>IFERROR(Table3[[#This Row],[Package Price
($)]]/Table3[[#This Row],[Pkg Qty]],"")</f>
        <v/>
      </c>
      <c r="T15" s="3" t="str">
        <f>IFERROR(Table3[[#This Row],[Capacity (mAh)
(Averaged)]]/Table3[[#This Row],[Price per battery
($)]],"")</f>
        <v/>
      </c>
    </row>
    <row r="16" spans="1:20" x14ac:dyDescent="0.25">
      <c r="A16" s="6"/>
      <c r="B16" s="6" t="s">
        <v>6</v>
      </c>
      <c r="C16" s="6"/>
      <c r="D16" s="4"/>
      <c r="E16" s="12"/>
      <c r="F16" s="6"/>
      <c r="G16" s="6"/>
      <c r="H16" s="6"/>
      <c r="I16" s="6"/>
      <c r="J16" s="6"/>
      <c r="K16" s="13"/>
      <c r="L16" s="13"/>
      <c r="M16" s="13"/>
      <c r="N16" s="13"/>
      <c r="O16" s="3" t="str">
        <f>IFERROR(ROUND(AVERAGE(Table3[[#This Row],[Capacity (mAh)
(Test '#1)]:[Capacity (mAh)
(Test '#4)]]),0),"")</f>
        <v/>
      </c>
      <c r="P16" s="3" t="str">
        <f>IF(OR(ISBLANK(Table3[[#This Row],[Capacity (Claimed)
(mWh)]]),(Table3[[#This Row],[Capacity (Claimed)
(mWh)]]="-")),"-",(Table3[[#This Row],[Capacity (Claimed)
(mWh)]]/1.5))</f>
        <v>-</v>
      </c>
      <c r="S16" s="15" t="str">
        <f>IFERROR(Table3[[#This Row],[Package Price
($)]]/Table3[[#This Row],[Pkg Qty]],"")</f>
        <v/>
      </c>
      <c r="T16" s="3" t="str">
        <f>IFERROR(Table3[[#This Row],[Capacity (mAh)
(Averaged)]]/Table3[[#This Row],[Price per battery
($)]],"")</f>
        <v/>
      </c>
    </row>
    <row r="17" spans="1:20" x14ac:dyDescent="0.25">
      <c r="A17" s="6"/>
      <c r="B17" s="6" t="s">
        <v>6</v>
      </c>
      <c r="C17" s="6"/>
      <c r="D17" s="4"/>
      <c r="E17" s="12"/>
      <c r="F17" s="6"/>
      <c r="G17" s="6"/>
      <c r="H17" s="6"/>
      <c r="I17" s="6"/>
      <c r="J17" s="6"/>
      <c r="K17" s="13"/>
      <c r="L17" s="13"/>
      <c r="M17" s="13"/>
      <c r="N17" s="13"/>
      <c r="O17" s="3" t="str">
        <f>IFERROR(ROUND(AVERAGE(Table3[[#This Row],[Capacity (mAh)
(Test '#1)]:[Capacity (mAh)
(Test '#4)]]),0),"")</f>
        <v/>
      </c>
      <c r="P17" s="3" t="str">
        <f>IF(OR(ISBLANK(Table3[[#This Row],[Capacity (Claimed)
(mWh)]]),(Table3[[#This Row],[Capacity (Claimed)
(mWh)]]="-")),"-",(Table3[[#This Row],[Capacity (Claimed)
(mWh)]]/1.5))</f>
        <v>-</v>
      </c>
      <c r="S17" s="15" t="str">
        <f>IFERROR(Table3[[#This Row],[Package Price
($)]]/Table3[[#This Row],[Pkg Qty]],"")</f>
        <v/>
      </c>
      <c r="T17" s="3" t="str">
        <f>IFERROR(Table3[[#This Row],[Capacity (mAh)
(Averaged)]]/Table3[[#This Row],[Price per battery
($)]],"")</f>
        <v/>
      </c>
    </row>
    <row r="18" spans="1:20" x14ac:dyDescent="0.25">
      <c r="A18" s="6"/>
      <c r="B18" s="6" t="s">
        <v>6</v>
      </c>
      <c r="C18" s="6"/>
      <c r="D18" s="4"/>
      <c r="E18" s="12"/>
      <c r="F18" s="6"/>
      <c r="G18" s="6"/>
      <c r="H18" s="6"/>
      <c r="I18" s="6"/>
      <c r="J18" s="6"/>
      <c r="K18" s="13"/>
      <c r="L18" s="13"/>
      <c r="M18" s="13"/>
      <c r="N18" s="13"/>
      <c r="O18" s="3" t="str">
        <f>IFERROR(ROUND(AVERAGE(Table3[[#This Row],[Capacity (mAh)
(Test '#1)]:[Capacity (mAh)
(Test '#4)]]),0),"")</f>
        <v/>
      </c>
      <c r="P18" s="3" t="str">
        <f>IF(OR(ISBLANK(Table3[[#This Row],[Capacity (Claimed)
(mWh)]]),(Table3[[#This Row],[Capacity (Claimed)
(mWh)]]="-")),"-",(Table3[[#This Row],[Capacity (Claimed)
(mWh)]]/1.5))</f>
        <v>-</v>
      </c>
      <c r="S18" s="15" t="str">
        <f>IFERROR(Table3[[#This Row],[Package Price
($)]]/Table3[[#This Row],[Pkg Qty]],"")</f>
        <v/>
      </c>
      <c r="T18" s="3" t="str">
        <f>IFERROR(Table3[[#This Row],[Capacity (mAh)
(Averaged)]]/Table3[[#This Row],[Price per battery
($)]],"")</f>
        <v/>
      </c>
    </row>
    <row r="19" spans="1:20" x14ac:dyDescent="0.25">
      <c r="A19" s="6"/>
      <c r="B19" s="6" t="s">
        <v>6</v>
      </c>
      <c r="C19" s="6"/>
      <c r="D19" s="4"/>
      <c r="E19" s="12"/>
      <c r="F19" s="6"/>
      <c r="G19" s="6"/>
      <c r="H19" s="6"/>
      <c r="I19" s="6"/>
      <c r="J19" s="6"/>
      <c r="K19" s="13"/>
      <c r="L19" s="13"/>
      <c r="M19" s="13"/>
      <c r="N19" s="13"/>
      <c r="O19" s="3" t="str">
        <f>IFERROR(ROUND(AVERAGE(Table3[[#This Row],[Capacity (mAh)
(Test '#1)]:[Capacity (mAh)
(Test '#4)]]),0),"")</f>
        <v/>
      </c>
      <c r="P19" s="3" t="str">
        <f>IF(OR(ISBLANK(Table3[[#This Row],[Capacity (Claimed)
(mWh)]]),(Table3[[#This Row],[Capacity (Claimed)
(mWh)]]="-")),"-",(Table3[[#This Row],[Capacity (Claimed)
(mWh)]]/1.5))</f>
        <v>-</v>
      </c>
      <c r="S19" s="15" t="str">
        <f>IFERROR(Table3[[#This Row],[Package Price
($)]]/Table3[[#This Row],[Pkg Qty]],"")</f>
        <v/>
      </c>
      <c r="T19" s="3" t="str">
        <f>IFERROR(Table3[[#This Row],[Capacity (mAh)
(Averaged)]]/Table3[[#This Row],[Price per battery
($)]],"")</f>
        <v/>
      </c>
    </row>
    <row r="20" spans="1:20" x14ac:dyDescent="0.25">
      <c r="A20" s="6"/>
      <c r="B20" s="6" t="s">
        <v>6</v>
      </c>
      <c r="C20" s="6"/>
      <c r="D20" s="4"/>
      <c r="E20" s="12"/>
      <c r="F20" s="6"/>
      <c r="G20" s="6"/>
      <c r="H20" s="6"/>
      <c r="I20" s="6"/>
      <c r="J20" s="6"/>
      <c r="K20" s="13"/>
      <c r="L20" s="13"/>
      <c r="M20" s="13"/>
      <c r="N20" s="13"/>
      <c r="O20" s="3" t="str">
        <f>IFERROR(ROUND(AVERAGE(Table3[[#This Row],[Capacity (mAh)
(Test '#1)]:[Capacity (mAh)
(Test '#4)]]),0),"")</f>
        <v/>
      </c>
      <c r="P20" s="3" t="str">
        <f>IF(OR(ISBLANK(Table3[[#This Row],[Capacity (Claimed)
(mWh)]]),(Table3[[#This Row],[Capacity (Claimed)
(mWh)]]="-")),"-",(Table3[[#This Row],[Capacity (Claimed)
(mWh)]]/1.5))</f>
        <v>-</v>
      </c>
      <c r="S20" s="15" t="str">
        <f>IFERROR(Table3[[#This Row],[Package Price
($)]]/Table3[[#This Row],[Pkg Qty]],"")</f>
        <v/>
      </c>
      <c r="T20" s="3" t="str">
        <f>IFERROR(Table3[[#This Row],[Capacity (mAh)
(Averaged)]]/Table3[[#This Row],[Price per battery
($)]],"")</f>
        <v/>
      </c>
    </row>
    <row r="21" spans="1:20" x14ac:dyDescent="0.25">
      <c r="A21" s="6"/>
      <c r="B21" s="6" t="s">
        <v>6</v>
      </c>
      <c r="C21" s="6"/>
      <c r="D21" s="4"/>
      <c r="E21" s="12"/>
      <c r="F21" s="6"/>
      <c r="G21" s="6"/>
      <c r="H21" s="6"/>
      <c r="I21" s="6"/>
      <c r="J21" s="6"/>
      <c r="K21" s="13"/>
      <c r="L21" s="13"/>
      <c r="M21" s="13"/>
      <c r="N21" s="13"/>
      <c r="O21" s="3" t="str">
        <f>IFERROR(ROUND(AVERAGE(Table3[[#This Row],[Capacity (mAh)
(Test '#1)]:[Capacity (mAh)
(Test '#4)]]),0),"")</f>
        <v/>
      </c>
      <c r="P21" s="3" t="str">
        <f>IF(OR(ISBLANK(Table3[[#This Row],[Capacity (Claimed)
(mWh)]]),(Table3[[#This Row],[Capacity (Claimed)
(mWh)]]="-")),"-",(Table3[[#This Row],[Capacity (Claimed)
(mWh)]]/1.5))</f>
        <v>-</v>
      </c>
      <c r="S21" s="15" t="str">
        <f>IFERROR(Table3[[#This Row],[Package Price
($)]]/Table3[[#This Row],[Pkg Qty]],"")</f>
        <v/>
      </c>
      <c r="T21" s="3" t="str">
        <f>IFERROR(Table3[[#This Row],[Capacity (mAh)
(Averaged)]]/Table3[[#This Row],[Price per battery
($)]],"")</f>
        <v/>
      </c>
    </row>
    <row r="22" spans="1:20" x14ac:dyDescent="0.25">
      <c r="A22" s="6"/>
      <c r="B22" s="6" t="s">
        <v>6</v>
      </c>
      <c r="C22" s="6"/>
      <c r="D22" s="4"/>
      <c r="E22" s="12"/>
      <c r="F22" s="6"/>
      <c r="G22" s="6"/>
      <c r="H22" s="6"/>
      <c r="I22" s="6"/>
      <c r="J22" s="6"/>
      <c r="K22" s="13"/>
      <c r="L22" s="13"/>
      <c r="M22" s="13"/>
      <c r="N22" s="13"/>
      <c r="O22" s="3" t="str">
        <f>IFERROR(ROUND(AVERAGE(Table3[[#This Row],[Capacity (mAh)
(Test '#1)]:[Capacity (mAh)
(Test '#4)]]),0),"")</f>
        <v/>
      </c>
      <c r="P22" s="3" t="str">
        <f>IF(OR(ISBLANK(Table3[[#This Row],[Capacity (Claimed)
(mWh)]]),(Table3[[#This Row],[Capacity (Claimed)
(mWh)]]="-")),"-",(Table3[[#This Row],[Capacity (Claimed)
(mWh)]]/1.5))</f>
        <v>-</v>
      </c>
      <c r="S22" s="15" t="str">
        <f>IFERROR(Table3[[#This Row],[Package Price
($)]]/Table3[[#This Row],[Pkg Qty]],"")</f>
        <v/>
      </c>
      <c r="T22" s="3" t="str">
        <f>IFERROR(Table3[[#This Row],[Capacity (mAh)
(Averaged)]]/Table3[[#This Row],[Price per battery
($)]],"")</f>
        <v/>
      </c>
    </row>
    <row r="23" spans="1:20" x14ac:dyDescent="0.25">
      <c r="A23" s="6"/>
      <c r="B23" s="6" t="s">
        <v>6</v>
      </c>
      <c r="C23" s="6"/>
      <c r="D23" s="4"/>
      <c r="E23" s="12"/>
      <c r="F23" s="6"/>
      <c r="G23" s="6"/>
      <c r="H23" s="6"/>
      <c r="I23" s="6"/>
      <c r="J23" s="6"/>
      <c r="K23" s="13"/>
      <c r="L23" s="13"/>
      <c r="M23" s="13"/>
      <c r="N23" s="13"/>
      <c r="O23" s="3" t="str">
        <f>IFERROR(ROUND(AVERAGE(Table3[[#This Row],[Capacity (mAh)
(Test '#1)]:[Capacity (mAh)
(Test '#4)]]),0),"")</f>
        <v/>
      </c>
      <c r="P23" s="3" t="str">
        <f>IF(OR(ISBLANK(Table3[[#This Row],[Capacity (Claimed)
(mWh)]]),(Table3[[#This Row],[Capacity (Claimed)
(mWh)]]="-")),"-",(Table3[[#This Row],[Capacity (Claimed)
(mWh)]]/1.5))</f>
        <v>-</v>
      </c>
      <c r="S23" s="15" t="str">
        <f>IFERROR(Table3[[#This Row],[Package Price
($)]]/Table3[[#This Row],[Pkg Qty]],"")</f>
        <v/>
      </c>
      <c r="T23" s="3" t="str">
        <f>IFERROR(Table3[[#This Row],[Capacity (mAh)
(Averaged)]]/Table3[[#This Row],[Price per battery
($)]],"")</f>
        <v/>
      </c>
    </row>
    <row r="24" spans="1:20" x14ac:dyDescent="0.25">
      <c r="A24" s="6"/>
      <c r="B24" s="6" t="s">
        <v>6</v>
      </c>
      <c r="C24" s="6"/>
      <c r="D24" s="4"/>
      <c r="E24" s="12"/>
      <c r="F24" s="6"/>
      <c r="G24" s="6"/>
      <c r="H24" s="6"/>
      <c r="I24" s="6"/>
      <c r="J24" s="6"/>
      <c r="K24" s="13"/>
      <c r="L24" s="13"/>
      <c r="M24" s="13"/>
      <c r="N24" s="13"/>
      <c r="O24" s="3" t="str">
        <f>IFERROR(ROUND(AVERAGE(Table3[[#This Row],[Capacity (mAh)
(Test '#1)]:[Capacity (mAh)
(Test '#4)]]),0),"")</f>
        <v/>
      </c>
      <c r="P24" s="3" t="str">
        <f>IF(OR(ISBLANK(Table3[[#This Row],[Capacity (Claimed)
(mWh)]]),(Table3[[#This Row],[Capacity (Claimed)
(mWh)]]="-")),"-",(Table3[[#This Row],[Capacity (Claimed)
(mWh)]]/1.5))</f>
        <v>-</v>
      </c>
      <c r="S24" s="15" t="str">
        <f>IFERROR(Table3[[#This Row],[Package Price
($)]]/Table3[[#This Row],[Pkg Qty]],"")</f>
        <v/>
      </c>
      <c r="T24" s="3" t="str">
        <f>IFERROR(Table3[[#This Row],[Capacity (mAh)
(Averaged)]]/Table3[[#This Row],[Price per battery
($)]],"")</f>
        <v/>
      </c>
    </row>
    <row r="25" spans="1:20" x14ac:dyDescent="0.25">
      <c r="A25" s="6"/>
      <c r="B25" s="6" t="s">
        <v>6</v>
      </c>
      <c r="C25" s="6"/>
      <c r="D25" s="4"/>
      <c r="E25" s="12"/>
      <c r="F25" s="6"/>
      <c r="G25" s="6"/>
      <c r="H25" s="6"/>
      <c r="I25" s="6"/>
      <c r="J25" s="6"/>
      <c r="K25" s="13"/>
      <c r="L25" s="13"/>
      <c r="M25" s="13"/>
      <c r="N25" s="13"/>
      <c r="O25" s="3" t="str">
        <f>IFERROR(ROUND(AVERAGE(Table3[[#This Row],[Capacity (mAh)
(Test '#1)]:[Capacity (mAh)
(Test '#4)]]),0),"")</f>
        <v/>
      </c>
      <c r="P25" s="3" t="str">
        <f>IF(OR(ISBLANK(Table3[[#This Row],[Capacity (Claimed)
(mWh)]]),(Table3[[#This Row],[Capacity (Claimed)
(mWh)]]="-")),"-",(Table3[[#This Row],[Capacity (Claimed)
(mWh)]]/1.5))</f>
        <v>-</v>
      </c>
      <c r="S25" s="15" t="str">
        <f>IFERROR(Table3[[#This Row],[Package Price
($)]]/Table3[[#This Row],[Pkg Qty]],"")</f>
        <v/>
      </c>
      <c r="T25" s="3" t="str">
        <f>IFERROR(Table3[[#This Row],[Capacity (mAh)
(Averaged)]]/Table3[[#This Row],[Price per battery
($)]],"")</f>
        <v/>
      </c>
    </row>
  </sheetData>
  <phoneticPr fontId="3" type="noConversion"/>
  <conditionalFormatting sqref="O2:P25">
    <cfRule type="colorScale" priority="1">
      <colorScale>
        <cfvo type="min"/>
        <cfvo type="percentile" val="50"/>
        <cfvo type="max"/>
        <color rgb="FFFCCCCD"/>
        <color rgb="FFFFF4BD"/>
        <color rgb="FFC9E9D1"/>
      </colorScale>
    </cfRule>
  </conditionalFormatting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4079-DC30-422D-A8A8-08ECD8BF2C74}">
  <dimension ref="A1:A20"/>
  <sheetViews>
    <sheetView workbookViewId="0">
      <selection activeCell="A8" sqref="A8"/>
    </sheetView>
  </sheetViews>
  <sheetFormatPr defaultRowHeight="15.75" x14ac:dyDescent="0.3"/>
  <cols>
    <col min="1" max="1" width="231.28515625" style="2" bestFit="1" customWidth="1"/>
    <col min="2" max="16384" width="9.140625" style="2"/>
  </cols>
  <sheetData>
    <row r="1" spans="1:1" ht="22.5" customHeight="1" x14ac:dyDescent="0.35">
      <c r="A1" s="1" t="s">
        <v>27</v>
      </c>
    </row>
    <row r="2" spans="1:1" ht="22.5" customHeight="1" x14ac:dyDescent="0.3">
      <c r="A2" s="2" t="s">
        <v>28</v>
      </c>
    </row>
    <row r="3" spans="1:1" ht="22.5" customHeight="1" x14ac:dyDescent="0.3">
      <c r="A3" s="2" t="s">
        <v>25</v>
      </c>
    </row>
    <row r="4" spans="1:1" ht="22.5" customHeight="1" x14ac:dyDescent="0.3">
      <c r="A4" s="2" t="s">
        <v>26</v>
      </c>
    </row>
    <row r="5" spans="1:1" ht="22.5" customHeight="1" x14ac:dyDescent="0.3">
      <c r="A5" s="2" t="s">
        <v>29</v>
      </c>
    </row>
    <row r="6" spans="1:1" ht="22.5" customHeight="1" x14ac:dyDescent="0.3">
      <c r="A6" s="2" t="s">
        <v>30</v>
      </c>
    </row>
    <row r="7" spans="1:1" ht="22.5" customHeight="1" x14ac:dyDescent="0.3">
      <c r="A7" s="2" t="s">
        <v>31</v>
      </c>
    </row>
    <row r="8" spans="1:1" ht="22.5" customHeight="1" x14ac:dyDescent="0.3">
      <c r="A8" s="2" t="s">
        <v>33</v>
      </c>
    </row>
    <row r="9" spans="1:1" ht="22.5" customHeight="1" x14ac:dyDescent="0.3"/>
    <row r="10" spans="1:1" ht="22.5" customHeight="1" x14ac:dyDescent="0.3"/>
    <row r="11" spans="1:1" ht="22.5" customHeight="1" x14ac:dyDescent="0.3"/>
    <row r="12" spans="1:1" ht="22.5" customHeight="1" x14ac:dyDescent="0.3"/>
    <row r="13" spans="1:1" ht="22.5" customHeight="1" x14ac:dyDescent="0.3"/>
    <row r="14" spans="1:1" ht="22.5" customHeight="1" x14ac:dyDescent="0.3"/>
    <row r="15" spans="1:1" ht="22.5" customHeight="1" x14ac:dyDescent="0.3"/>
    <row r="16" spans="1:1" ht="22.5" customHeight="1" x14ac:dyDescent="0.3"/>
    <row r="17" ht="22.5" customHeight="1" x14ac:dyDescent="0.3"/>
    <row r="18" ht="22.5" customHeight="1" x14ac:dyDescent="0.3"/>
    <row r="19" ht="22.5" customHeight="1" x14ac:dyDescent="0.3"/>
    <row r="20" ht="22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 Batteries</vt:lpstr>
      <vt:lpstr>AAA Batteries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Cavallo</dc:creator>
  <cp:lastModifiedBy>Matt Cavallo</cp:lastModifiedBy>
  <cp:lastPrinted>2024-01-12T07:32:00Z</cp:lastPrinted>
  <dcterms:created xsi:type="dcterms:W3CDTF">2023-12-30T04:08:43Z</dcterms:created>
  <dcterms:modified xsi:type="dcterms:W3CDTF">2026-10-16T07:22:08Z</dcterms:modified>
</cp:coreProperties>
</file>