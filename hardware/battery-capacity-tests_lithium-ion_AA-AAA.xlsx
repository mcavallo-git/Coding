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cava\Documents\GitHub\Coding\hardware\"/>
    </mc:Choice>
  </mc:AlternateContent>
  <xr:revisionPtr revIDLastSave="0" documentId="13_ncr:1_{E60155C7-F328-4CB7-AF0B-0381D9B7B9DB}" xr6:coauthVersionLast="47" xr6:coauthVersionMax="47" xr10:uidLastSave="{00000000-0000-0000-0000-000000000000}"/>
  <bookViews>
    <workbookView xWindow="-105" yWindow="0" windowWidth="26010" windowHeight="20985" xr2:uid="{E5D7BF72-F0C5-4096-89C0-8DC37475FB76}"/>
  </bookViews>
  <sheets>
    <sheet name="AA Batteries" sheetId="4" r:id="rId1"/>
    <sheet name="AAA Batteries" sheetId="3" r:id="rId2"/>
    <sheet name="Guide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3" l="1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3" i="4"/>
  <c r="P4" i="4"/>
  <c r="P5" i="4"/>
  <c r="P6" i="4"/>
  <c r="P7" i="4"/>
  <c r="P8" i="4"/>
  <c r="P2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M10" i="3"/>
  <c r="Q10" i="3" s="1"/>
  <c r="M11" i="3"/>
  <c r="Q11" i="3" s="1"/>
  <c r="M12" i="3"/>
  <c r="Q12" i="3" s="1"/>
  <c r="M13" i="3"/>
  <c r="Q13" i="3" s="1"/>
  <c r="M14" i="3"/>
  <c r="Q14" i="3" s="1"/>
  <c r="M15" i="3"/>
  <c r="Q15" i="3" s="1"/>
  <c r="M16" i="3"/>
  <c r="Q16" i="3" s="1"/>
  <c r="M17" i="3"/>
  <c r="Q17" i="3" s="1"/>
  <c r="M18" i="3"/>
  <c r="Q18" i="3" s="1"/>
  <c r="M19" i="3"/>
  <c r="Q19" i="3" s="1"/>
  <c r="M20" i="3"/>
  <c r="Q20" i="3" s="1"/>
  <c r="M21" i="3"/>
  <c r="Q21" i="3" s="1"/>
  <c r="M12" i="4"/>
  <c r="M13" i="4"/>
  <c r="M14" i="4"/>
  <c r="M15" i="4"/>
  <c r="M16" i="4"/>
  <c r="M17" i="4"/>
  <c r="M10" i="4"/>
  <c r="M11" i="4"/>
  <c r="Q11" i="4" s="1"/>
  <c r="M18" i="4"/>
  <c r="M19" i="4"/>
  <c r="M20" i="4"/>
  <c r="M21" i="4"/>
  <c r="M9" i="4"/>
  <c r="M22" i="4"/>
  <c r="Q22" i="4" s="1"/>
  <c r="M23" i="4"/>
  <c r="Q23" i="4" s="1"/>
  <c r="M24" i="4"/>
  <c r="Q24" i="4" s="1"/>
  <c r="M25" i="4"/>
  <c r="M2" i="4"/>
  <c r="M8" i="4"/>
  <c r="M7" i="4"/>
  <c r="M6" i="4"/>
  <c r="M5" i="4"/>
  <c r="Q5" i="4" s="1"/>
  <c r="M4" i="4"/>
  <c r="Q4" i="4" s="1"/>
  <c r="M3" i="4"/>
  <c r="Q3" i="4" s="1"/>
  <c r="M23" i="3"/>
  <c r="Q23" i="3" s="1"/>
  <c r="M24" i="3"/>
  <c r="Q24" i="3" s="1"/>
  <c r="M25" i="3"/>
  <c r="Q25" i="3" s="1"/>
  <c r="M9" i="3"/>
  <c r="Q9" i="3" s="1"/>
  <c r="M2" i="3"/>
  <c r="Q2" i="3" s="1"/>
  <c r="M22" i="3"/>
  <c r="Q22" i="3" s="1"/>
  <c r="M4" i="3"/>
  <c r="Q4" i="3" s="1"/>
  <c r="M6" i="3"/>
  <c r="Q6" i="3" s="1"/>
  <c r="M8" i="3"/>
  <c r="M5" i="3"/>
  <c r="M3" i="3"/>
  <c r="M7" i="3"/>
  <c r="Q8" i="4" l="1"/>
  <c r="Q2" i="4"/>
  <c r="Q7" i="4"/>
  <c r="Q25" i="4"/>
  <c r="Q21" i="4"/>
  <c r="Q18" i="4"/>
  <c r="Q9" i="4"/>
  <c r="Q20" i="4"/>
  <c r="Q19" i="4"/>
  <c r="Q7" i="3"/>
  <c r="Q6" i="4"/>
  <c r="Q8" i="3"/>
  <c r="Q5" i="3"/>
  <c r="Q3" i="3"/>
  <c r="Q10" i="4"/>
  <c r="Q16" i="4"/>
  <c r="Q12" i="4"/>
  <c r="Q17" i="4"/>
  <c r="Q15" i="4"/>
  <c r="Q13" i="4"/>
  <c r="Q14" i="4"/>
</calcChain>
</file>

<file path=xl/sharedStrings.xml><?xml version="1.0" encoding="utf-8"?>
<sst xmlns="http://schemas.openxmlformats.org/spreadsheetml/2006/main" count="195" uniqueCount="49">
  <si>
    <t>EBL</t>
  </si>
  <si>
    <t>CHICNOD</t>
  </si>
  <si>
    <t>POWNERGY</t>
  </si>
  <si>
    <t>LETWATTGEND</t>
  </si>
  <si>
    <t>BUMP</t>
  </si>
  <si>
    <t>0.8 V</t>
  </si>
  <si>
    <t>AA</t>
  </si>
  <si>
    <t>AAA</t>
  </si>
  <si>
    <t>KILISTEELS</t>
  </si>
  <si>
    <t>Plug Loc</t>
  </si>
  <si>
    <t>USB Type</t>
  </si>
  <si>
    <t>USB C</t>
  </si>
  <si>
    <t>MICRO</t>
  </si>
  <si>
    <t>SIDE</t>
  </si>
  <si>
    <t>TOP</t>
  </si>
  <si>
    <t>0.35 A</t>
  </si>
  <si>
    <t>Splitter Incl.</t>
  </si>
  <si>
    <t>4-Way</t>
  </si>
  <si>
    <t>2-Way*2</t>
  </si>
  <si>
    <t>2-Way</t>
  </si>
  <si>
    <t>-</t>
  </si>
  <si>
    <t>DURACELL PROCELL</t>
  </si>
  <si>
    <t>ENERGIZER MAX</t>
  </si>
  <si>
    <t>LANKOO</t>
  </si>
  <si>
    <t>Battery Brand</t>
  </si>
  <si>
    <t>Form Factor</t>
  </si>
  <si>
    <t>2. Connect battery terminal to HW-586</t>
  </si>
  <si>
    <t>3. Insert battery to be tested into battery terminal</t>
  </si>
  <si>
    <t>Battery testing AA/AAA (or other 1.5V) batteries using HW-586 Module</t>
  </si>
  <si>
    <t>1. Connect resistance to HW-586 which causes the module to push ~0.35 Amps during testing (two of the white block resistors included with HW-586 wired in parallel should do)</t>
  </si>
  <si>
    <t>4. Plug a Micro USB cable into the HW-586 module, connect the other end of the cable into a USB power source and the HW-586 should power on</t>
  </si>
  <si>
    <t>5. Press "+" sign until "P00.8" is shown on the HW-586's screen (denotes a cutoff voltage of 0.8V)</t>
  </si>
  <si>
    <t>6. Press "OK" to confirm the cutoff voltage and the HW-586 will run until the battery reaches 0.8V</t>
  </si>
  <si>
    <t>e-CIRCUIT</t>
  </si>
  <si>
    <t>7. Once test is complete, the HW-586 will bleak rapidly, displaying the "Ah" (Amp-hours) result - Save this into desired spreadsheet or other record keeping location</t>
  </si>
  <si>
    <t>Package Quantity</t>
  </si>
  <si>
    <t>Capacity (mAh)
(Test #1)</t>
  </si>
  <si>
    <t>Capacity (mAh)
(Test #2)</t>
  </si>
  <si>
    <t>Capacity (mAh)
(Test #3)</t>
  </si>
  <si>
    <t>Capacity (mAh)
(Test #4)</t>
  </si>
  <si>
    <t>Capacity (mAh)
(Averaged)</t>
  </si>
  <si>
    <t>Package Price
($)</t>
  </si>
  <si>
    <t>Price per battery
($)</t>
  </si>
  <si>
    <t>Cutoff
(V)</t>
  </si>
  <si>
    <t>Current
(A)</t>
  </si>
  <si>
    <t>Capacity per Dollar (mAh)</t>
  </si>
  <si>
    <t>Chemistry</t>
  </si>
  <si>
    <t>Alkaline</t>
  </si>
  <si>
    <t>Lithium 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</si>
</sst>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&quot; mAh&quot;"/>
    <numFmt numFmtId="165" formatCode="&quot;$&quot;#,##0.00"/>
  </numFmts>
  <fonts count="4" x14ac:knownFonts="1">
    <font>
      <sz val="11"/>
      <color theme="1"/>
      <name val="Calibri"/>
      <family val="2"/>
      <scheme val="minor"/>
    </font>
    <font>
      <b/>
      <u/>
      <sz val="14"/>
      <color theme="1"/>
      <name val="Fira Code Retina"/>
    </font>
    <font>
      <sz val="11"/>
      <color theme="1"/>
      <name val="Fira Code Retina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dotted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1" fillId="0" borderId="0" xfId="0" applyFont="1"/>
    <xf numFmtId="0" fontId="2" fillId="0" borderId="0" xfId="0" applyFont="1"/>
    <xf numFmtId="1" fontId="0" fillId="0" borderId="0" xfId="0" applyNumberFormat="1"/>
    <xf numFmtId="1" fontId="0" fillId="0" borderId="0" xfId="0" applyNumberFormat="1" applyAlignment="1">
      <alignment vertical="top" wrapText="1"/>
    </xf>
    <xf numFmtId="165" fontId="0" fillId="0" borderId="0" xfId="0" applyNumberFormat="1" applyAlignment="1">
      <alignment vertical="top" wrapText="1"/>
    </xf>
    <xf numFmtId="165" fontId="0" fillId="0" borderId="0" xfId="0" applyNumberFormat="1"/>
    <xf numFmtId="164" fontId="3" fillId="0" borderId="0" xfId="0" applyNumberFormat="1" applyFont="1" applyAlignment="1">
      <alignment vertical="top" wrapText="1"/>
    </xf>
  </cellXfs>
  <cellStyles count="1">
    <cellStyle name="Normal" xfId="0" builtinId="0"/>
  </cellStyles>
  <dxfs count="24">
    <dxf>
      <numFmt numFmtId="164" formatCode="0&quot; mAh&quot;"/>
    </dxf>
    <dxf>
      <numFmt numFmtId="165" formatCode="&quot;$&quot;#,##0.00"/>
    </dxf>
    <dxf>
      <numFmt numFmtId="165" formatCode="&quot;$&quot;#,##0.00"/>
    </dxf>
    <dxf>
      <numFmt numFmtId="1" formatCode="0"/>
    </dxf>
    <dxf>
      <numFmt numFmtId="164" formatCode="0&quot; mAh&quot;"/>
    </dxf>
    <dxf>
      <numFmt numFmtId="164" formatCode="0&quot; mAh&quot;"/>
    </dxf>
    <dxf>
      <numFmt numFmtId="164" formatCode="0&quot; mAh&quot;"/>
    </dxf>
    <dxf>
      <numFmt numFmtId="164" formatCode="0&quot; mAh&quot;"/>
    </dxf>
    <dxf>
      <numFmt numFmtId="164" formatCode="0&quot; mAh&quot;"/>
    </dxf>
    <dxf>
      <border diagonalUp="0" diagonalDown="0">
        <left/>
        <right style="dotted">
          <color indexed="64"/>
        </right>
        <top/>
        <bottom/>
        <vertical/>
        <horizontal/>
      </border>
    </dxf>
    <dxf>
      <border diagonalUp="0" diagonalDown="0">
        <left/>
        <right style="dotted">
          <color indexed="64"/>
        </right>
        <top/>
        <bottom/>
        <vertical/>
        <horizontal/>
      </border>
    </dxf>
    <dxf>
      <numFmt numFmtId="164" formatCode="0&quot; mAh&quot;"/>
      <alignment horizontal="general" vertical="top" textRotation="0" wrapText="1" indent="0" justifyLastLine="0" shrinkToFit="0" readingOrder="0"/>
    </dxf>
    <dxf>
      <border diagonalUp="0" diagonalDown="0">
        <left/>
        <right style="dotted">
          <color indexed="64"/>
        </right>
        <top/>
        <bottom/>
        <vertical/>
        <horizontal/>
      </border>
    </dxf>
    <dxf>
      <numFmt numFmtId="164" formatCode="0&quot; mAh&quot;"/>
    </dxf>
    <dxf>
      <numFmt numFmtId="165" formatCode="&quot;$&quot;#,##0.00"/>
    </dxf>
    <dxf>
      <numFmt numFmtId="165" formatCode="&quot;$&quot;#,##0.00"/>
    </dxf>
    <dxf>
      <numFmt numFmtId="1" formatCode="0"/>
    </dxf>
    <dxf>
      <numFmt numFmtId="164" formatCode="0&quot; mAh&quot;"/>
    </dxf>
    <dxf>
      <numFmt numFmtId="164" formatCode="0&quot; mAh&quot;"/>
    </dxf>
    <dxf>
      <numFmt numFmtId="164" formatCode="0&quot; mAh&quot;"/>
    </dxf>
    <dxf>
      <numFmt numFmtId="164" formatCode="0&quot; mAh&quot;"/>
    </dxf>
    <dxf>
      <numFmt numFmtId="164" formatCode="0&quot; mAh&quot;"/>
    </dxf>
    <dxf>
      <border diagonalUp="0" diagonalDown="0">
        <left/>
        <right style="dotted">
          <color indexed="64"/>
        </right>
        <top/>
        <bottom/>
        <vertical/>
        <horizontal/>
      </border>
    </dxf>
    <dxf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C9E9D1"/>
      <color rgb="FFFFF4BD"/>
      <color rgb="FFFCCCCD"/>
      <color rgb="FFD3EDDA"/>
      <color rgb="FFFFF7D1"/>
      <color rgb="FFFFF9DD"/>
      <color rgb="FFFA9C9E"/>
      <color rgb="FFEEDD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EE4FAC-F828-4C69-BD4B-209D42AC9A11}" name="Table35" displayName="Table35" ref="A1:Q25" totalsRowShown="0" headerRowDxfId="23">
  <autoFilter ref="A1:Q25" xr:uid="{9D7B16C1-0AF6-47A8-A5C4-2FD9C768AE5C}"/>
  <sortState xmlns:xlrd2="http://schemas.microsoft.com/office/spreadsheetml/2017/richdata2" ref="A2:Q25">
    <sortCondition ref="M1:M25"/>
  </sortState>
  <tableColumns count="17">
    <tableColumn id="1" xr3:uid="{CBABFE4A-DB4B-478A-A196-6B10725888CE}" name="Battery Brand" dataDxfId="22"/>
    <tableColumn id="2" xr3:uid="{A4C15DEC-98CA-4B4A-AA6D-9D8629196B6D}" name="Form Factor"/>
    <tableColumn id="18" xr3:uid="{5C2654CB-3147-4CBC-B035-883A9090E4E6}" name="Chemistry" dataDxfId="12"/>
    <tableColumn id="3" xr3:uid="{C5D6165E-2DC1-490A-8745-775A230CE959}" name="Plug Loc"/>
    <tableColumn id="4" xr3:uid="{76E5C7FE-A9FC-4892-AA2F-F4BDBC0FE43E}" name="USB Type"/>
    <tableColumn id="5" xr3:uid="{0B30B98B-6A8B-4BC5-AAA4-52D69388E8A1}" name="Splitter Incl."/>
    <tableColumn id="6" xr3:uid="{679FA49F-E3B8-466B-A769-C279FED07A47}" name="Cutoff_x000a_(V)"/>
    <tableColumn id="7" xr3:uid="{0749C5D5-9FE3-4320-A646-E78C6602DB2D}" name="Current_x000a_(A)"/>
    <tableColumn id="8" xr3:uid="{FC5DC19F-46DB-49F0-B6EB-F8D8DFCC5119}" name="Capacity (mAh)_x000a_(Test #1)" dataDxfId="21"/>
    <tableColumn id="9" xr3:uid="{2C2758A8-2AF5-47E7-BF85-99A3D8B3BA30}" name="Capacity (mAh)_x000a_(Test #2)" dataDxfId="20"/>
    <tableColumn id="10" xr3:uid="{33DF939F-2A16-4823-AACA-AC4D2782FCC1}" name="Capacity (mAh)_x000a_(Test #3)" dataDxfId="19"/>
    <tableColumn id="11" xr3:uid="{DD1EEECD-4600-48C0-A802-DB79834A7A50}" name="Capacity (mAh)_x000a_(Test #4)" dataDxfId="18"/>
    <tableColumn id="12" xr3:uid="{815B7A98-D189-4530-8370-36E96E9386A8}" name="Capacity (mAh)_x000a_(Averaged)" dataDxfId="17">
      <calculatedColumnFormula>IFERROR(ROUND(AVERAGE(Table35[[#This Row],[Capacity (mAh)
(Test '#1)]:[Capacity (mAh)
(Test '#4)]]),0),"")</calculatedColumnFormula>
    </tableColumn>
    <tableColumn id="13" xr3:uid="{FB50ABF7-3A80-4E6B-B421-533E61A624AE}" name="Package Quantity" dataDxfId="16"/>
    <tableColumn id="14" xr3:uid="{BAAC862F-FE09-469C-B505-5B1D17C687E4}" name="Package Price_x000a_($)" dataDxfId="15"/>
    <tableColumn id="15" xr3:uid="{4DAA5FFD-D836-4119-968C-53A1BFEA75AC}" name="Price per battery_x000a_($)" dataDxfId="14">
      <calculatedColumnFormula>IFERROR(Table35[[#This Row],[Package Price
($)]]/Table35[[#This Row],[Package Quantity]],"")</calculatedColumnFormula>
    </tableColumn>
    <tableColumn id="16" xr3:uid="{B90ADC68-DA10-4B4A-816B-714216F488CF}" name="Capacity per Dollar (mAh)" dataDxfId="13">
      <calculatedColumnFormula>IFERROR(Table35[[#This Row],[Capacity (mAh)
(Averaged)]]/Table35[[#This Row],[Price per battery
($)]],"")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7B16C1-0AF6-47A8-A5C4-2FD9C768AE5C}" name="Table3" displayName="Table3" ref="A1:Q25" totalsRowShown="0" headerRowDxfId="11">
  <autoFilter ref="A1:Q25" xr:uid="{9D7B16C1-0AF6-47A8-A5C4-2FD9C768AE5C}"/>
  <sortState xmlns:xlrd2="http://schemas.microsoft.com/office/spreadsheetml/2017/richdata2" ref="A2:M25">
    <sortCondition ref="M1:M25"/>
  </sortState>
  <tableColumns count="17">
    <tableColumn id="1" xr3:uid="{5FD88E0E-EEC4-45EA-829E-F14B958619D1}" name="Battery Brand" dataDxfId="10"/>
    <tableColumn id="2" xr3:uid="{F0B5B50C-ECE4-4B5B-BC33-E41ECF72CB84}" name="Form Factor"/>
    <tableColumn id="18" xr3:uid="{C6B4CF7F-2783-48EF-834F-E855B8EEFC07}" name="Chemistry" dataDxfId="9"/>
    <tableColumn id="3" xr3:uid="{95C6D9E4-D9F2-41C1-B5B8-D5C12AADD7D5}" name="Plug Loc"/>
    <tableColumn id="4" xr3:uid="{CC6956E7-B2BF-4E3E-AFF8-F43E275B8834}" name="USB Type"/>
    <tableColumn id="5" xr3:uid="{DAF5776A-02B6-4652-BB4E-D674B4D5241F}" name="Splitter Incl."/>
    <tableColumn id="6" xr3:uid="{C3CDCA6E-9575-4DE4-83C5-1379AF569F68}" name="Cutoff_x000a_(V)"/>
    <tableColumn id="7" xr3:uid="{E0DF1034-A579-4CD7-B7E4-A3A74917FD27}" name="Current_x000a_(A)"/>
    <tableColumn id="8" xr3:uid="{DDF1ED42-4BB3-47E1-8105-E90AD843ECD1}" name="Capacity (mAh)_x000a_(Test #1)" dataDxfId="8"/>
    <tableColumn id="9" xr3:uid="{2C98A263-D4F3-4057-9C06-F22A950F7DBA}" name="Capacity (mAh)_x000a_(Test #2)" dataDxfId="7"/>
    <tableColumn id="10" xr3:uid="{5361E4DF-E5D4-4566-BA3C-A08A8A66D480}" name="Capacity (mAh)_x000a_(Test #3)" dataDxfId="6"/>
    <tableColumn id="11" xr3:uid="{5D1D0FB3-8458-4FF6-B2DE-E36C691CFEAE}" name="Capacity (mAh)_x000a_(Test #4)" dataDxfId="5"/>
    <tableColumn id="12" xr3:uid="{63DC296B-3655-4FB6-BD00-EF6D486577A7}" name="Capacity (mAh)_x000a_(Averaged)" dataDxfId="4">
      <calculatedColumnFormula>IFERROR(ROUND(AVERAGE(Table3[[#This Row],[Capacity (mAh)
(Test '#1)]:[Capacity (mAh)
(Test '#4)]]),0),"")</calculatedColumnFormula>
    </tableColumn>
    <tableColumn id="13" xr3:uid="{B4A9F974-E29B-41F4-8269-54197CFA3C31}" name="Package Quantity" dataDxfId="3"/>
    <tableColumn id="14" xr3:uid="{71EB4A3B-A497-47F8-9502-BC8C4453702F}" name="Package Price_x000a_($)" dataDxfId="2"/>
    <tableColumn id="15" xr3:uid="{3971A6B9-1C45-48AC-BFEB-B8DE558BE4BF}" name="Price per battery_x000a_($)" dataDxfId="1">
      <calculatedColumnFormula>IFERROR(Table3[[#This Row],[Package Price
($)]]/Table3[[#This Row],[Package Quantity]],"")</calculatedColumnFormula>
    </tableColumn>
    <tableColumn id="16" xr3:uid="{28FCF180-4137-4956-B227-BA4FC12BB9E1}" name="Capacity per Dollar (mAh)" dataDxfId="0">
      <calculatedColumnFormula>IFERROR(Table3[[#This Row],[Capacity (mAh)
(Averaged)]]/Table3[[#This Row],[Price per battery
($)]],"")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88473-F5AD-4E7A-8759-03380A4A5160}">
  <dimension ref="A1:Q25"/>
  <sheetViews>
    <sheetView tabSelected="1" zoomScale="115" zoomScaleNormal="115" workbookViewId="0">
      <selection activeCell="M13" sqref="M13"/>
    </sheetView>
  </sheetViews>
  <sheetFormatPr defaultRowHeight="15" x14ac:dyDescent="0.25"/>
  <cols>
    <col min="1" max="1" width="18.140625" bestFit="1" customWidth="1"/>
    <col min="3" max="3" width="12.28515625" bestFit="1" customWidth="1"/>
    <col min="4" max="4" width="6.85546875" customWidth="1"/>
    <col min="5" max="5" width="7.5703125" customWidth="1"/>
    <col min="6" max="6" width="9.85546875" bestFit="1" customWidth="1"/>
    <col min="7" max="7" width="8.85546875" bestFit="1" customWidth="1"/>
    <col min="8" max="8" width="10" bestFit="1" customWidth="1"/>
    <col min="9" max="12" width="10.85546875" style="1" bestFit="1" customWidth="1"/>
    <col min="13" max="13" width="13.140625" style="1" bestFit="1" customWidth="1"/>
    <col min="14" max="14" width="11" style="8" bestFit="1" customWidth="1"/>
    <col min="15" max="15" width="10.42578125" style="11" bestFit="1" customWidth="1"/>
    <col min="16" max="16" width="11.140625" style="11" bestFit="1" customWidth="1"/>
    <col min="17" max="17" width="10.5703125" style="1" customWidth="1"/>
  </cols>
  <sheetData>
    <row r="1" spans="1:17" s="4" customFormat="1" ht="45" x14ac:dyDescent="0.25">
      <c r="A1" s="4" t="s">
        <v>24</v>
      </c>
      <c r="B1" s="4" t="s">
        <v>25</v>
      </c>
      <c r="C1" s="4" t="s">
        <v>46</v>
      </c>
      <c r="D1" s="4" t="s">
        <v>9</v>
      </c>
      <c r="E1" s="4" t="s">
        <v>10</v>
      </c>
      <c r="F1" s="4" t="s">
        <v>16</v>
      </c>
      <c r="G1" s="4" t="s">
        <v>43</v>
      </c>
      <c r="H1" s="4" t="s">
        <v>44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9" t="s">
        <v>35</v>
      </c>
      <c r="O1" s="10" t="s">
        <v>41</v>
      </c>
      <c r="P1" s="10" t="s">
        <v>42</v>
      </c>
      <c r="Q1" s="5" t="s">
        <v>45</v>
      </c>
    </row>
    <row r="2" spans="1:17" x14ac:dyDescent="0.25">
      <c r="A2" s="2" t="s">
        <v>33</v>
      </c>
      <c r="B2" s="2" t="s">
        <v>6</v>
      </c>
      <c r="C2" s="2" t="s">
        <v>47</v>
      </c>
      <c r="D2" s="2" t="s">
        <v>20</v>
      </c>
      <c r="E2" s="2" t="s">
        <v>20</v>
      </c>
      <c r="F2" s="2" t="s">
        <v>20</v>
      </c>
      <c r="G2" s="2" t="s">
        <v>5</v>
      </c>
      <c r="H2" s="2" t="s">
        <v>15</v>
      </c>
      <c r="I2" s="3">
        <v>201</v>
      </c>
      <c r="J2" s="3">
        <v>304</v>
      </c>
      <c r="K2" s="3">
        <v>358</v>
      </c>
      <c r="L2" s="3">
        <v>365</v>
      </c>
      <c r="M2" s="1">
        <f>IFERROR(ROUND(AVERAGE(Table35[[#This Row],[Capacity (mAh)
(Test '#1)]:[Capacity (mAh)
(Test '#4)]]),0),"")</f>
        <v>307</v>
      </c>
      <c r="N2" s="8">
        <v>8</v>
      </c>
      <c r="O2" s="11">
        <v>1.5</v>
      </c>
      <c r="P2" s="11">
        <f>IFERROR(Table35[[#This Row],[Package Price
($)]]/Table35[[#This Row],[Package Quantity]],"")</f>
        <v>0.1875</v>
      </c>
      <c r="Q2" s="1">
        <f>IFERROR(Table35[[#This Row],[Capacity (mAh)
(Averaged)]]/Table35[[#This Row],[Price per battery
($)]],"")</f>
        <v>1637.3333333333333</v>
      </c>
    </row>
    <row r="3" spans="1:17" x14ac:dyDescent="0.25">
      <c r="A3" s="2" t="s">
        <v>1</v>
      </c>
      <c r="B3" s="2" t="s">
        <v>6</v>
      </c>
      <c r="C3" s="2" t="s">
        <v>48</v>
      </c>
      <c r="D3" s="2" t="s">
        <v>14</v>
      </c>
      <c r="E3" s="2" t="s">
        <v>11</v>
      </c>
      <c r="F3" s="2" t="s">
        <v>18</v>
      </c>
      <c r="G3" s="2" t="s">
        <v>5</v>
      </c>
      <c r="H3" s="2" t="s">
        <v>15</v>
      </c>
      <c r="I3" s="3">
        <v>1160</v>
      </c>
      <c r="J3" s="3">
        <v>1080</v>
      </c>
      <c r="K3" s="3">
        <v>1216</v>
      </c>
      <c r="L3" s="3">
        <v>1136</v>
      </c>
      <c r="M3" s="1">
        <f>IFERROR(ROUND(AVERAGE(Table35[[#This Row],[Capacity (mAh)
(Test '#1)]:[Capacity (mAh)
(Test '#4)]]),0),"")</f>
        <v>1148</v>
      </c>
      <c r="N3" s="8">
        <v>4</v>
      </c>
      <c r="O3" s="11">
        <v>17.09</v>
      </c>
      <c r="P3" s="11">
        <f>IFERROR(Table35[[#This Row],[Package Price
($)]]/Table35[[#This Row],[Package Quantity]],"")</f>
        <v>4.2725</v>
      </c>
      <c r="Q3" s="1">
        <f>IFERROR(Table35[[#This Row],[Capacity (mAh)
(Averaged)]]/Table35[[#This Row],[Price per battery
($)]],"")</f>
        <v>268.69514335868928</v>
      </c>
    </row>
    <row r="4" spans="1:17" x14ac:dyDescent="0.25">
      <c r="A4" s="2" t="s">
        <v>4</v>
      </c>
      <c r="B4" s="2" t="s">
        <v>6</v>
      </c>
      <c r="C4" s="2" t="s">
        <v>48</v>
      </c>
      <c r="D4" s="2" t="s">
        <v>13</v>
      </c>
      <c r="E4" s="2" t="s">
        <v>11</v>
      </c>
      <c r="F4" s="2" t="s">
        <v>17</v>
      </c>
      <c r="G4" s="2" t="s">
        <v>5</v>
      </c>
      <c r="H4" s="2" t="s">
        <v>15</v>
      </c>
      <c r="I4" s="3">
        <v>1476</v>
      </c>
      <c r="J4" s="3">
        <v>1486</v>
      </c>
      <c r="K4" s="3">
        <v>1382</v>
      </c>
      <c r="L4" s="3">
        <v>1500</v>
      </c>
      <c r="M4" s="1">
        <f>IFERROR(ROUND(AVERAGE(Table35[[#This Row],[Capacity (mAh)
(Test '#1)]:[Capacity (mAh)
(Test '#4)]]),0),"")</f>
        <v>1461</v>
      </c>
      <c r="N4" s="8">
        <v>4</v>
      </c>
      <c r="O4" s="11">
        <v>16.989999999999998</v>
      </c>
      <c r="P4" s="11">
        <f>IFERROR(Table35[[#This Row],[Package Price
($)]]/Table35[[#This Row],[Package Quantity]],"")</f>
        <v>4.2474999999999996</v>
      </c>
      <c r="Q4" s="1">
        <f>IFERROR(Table35[[#This Row],[Capacity (mAh)
(Averaged)]]/Table35[[#This Row],[Price per battery
($)]],"")</f>
        <v>343.96703943496175</v>
      </c>
    </row>
    <row r="5" spans="1:17" x14ac:dyDescent="0.25">
      <c r="A5" s="2" t="s">
        <v>23</v>
      </c>
      <c r="B5" s="2" t="s">
        <v>6</v>
      </c>
      <c r="C5" s="2" t="s">
        <v>48</v>
      </c>
      <c r="D5" s="2" t="s">
        <v>13</v>
      </c>
      <c r="E5" s="2" t="s">
        <v>11</v>
      </c>
      <c r="F5" s="2" t="s">
        <v>17</v>
      </c>
      <c r="G5" s="2" t="s">
        <v>5</v>
      </c>
      <c r="H5" s="2" t="s">
        <v>15</v>
      </c>
      <c r="I5" s="3">
        <v>1542</v>
      </c>
      <c r="J5" s="3">
        <v>1465</v>
      </c>
      <c r="K5" s="3">
        <v>1474</v>
      </c>
      <c r="L5" s="3">
        <v>1561</v>
      </c>
      <c r="M5" s="1">
        <f>IFERROR(ROUND(AVERAGE(Table35[[#This Row],[Capacity (mAh)
(Test '#1)]:[Capacity (mAh)
(Test '#4)]]),0),"")</f>
        <v>1511</v>
      </c>
      <c r="N5" s="8">
        <v>4</v>
      </c>
      <c r="O5" s="11">
        <v>18.98</v>
      </c>
      <c r="P5" s="11">
        <f>IFERROR(Table35[[#This Row],[Package Price
($)]]/Table35[[#This Row],[Package Quantity]],"")</f>
        <v>4.7450000000000001</v>
      </c>
      <c r="Q5" s="1">
        <f>IFERROR(Table35[[#This Row],[Capacity (mAh)
(Averaged)]]/Table35[[#This Row],[Price per battery
($)]],"")</f>
        <v>318.44046364594311</v>
      </c>
    </row>
    <row r="6" spans="1:17" x14ac:dyDescent="0.25">
      <c r="A6" s="2" t="s">
        <v>21</v>
      </c>
      <c r="B6" s="2" t="s">
        <v>6</v>
      </c>
      <c r="C6" s="2" t="s">
        <v>47</v>
      </c>
      <c r="D6" s="2" t="s">
        <v>20</v>
      </c>
      <c r="E6" s="2" t="s">
        <v>20</v>
      </c>
      <c r="F6" s="2" t="s">
        <v>20</v>
      </c>
      <c r="G6" s="2" t="s">
        <v>5</v>
      </c>
      <c r="H6" s="2" t="s">
        <v>15</v>
      </c>
      <c r="I6" s="3">
        <v>1631</v>
      </c>
      <c r="J6" s="3">
        <v>1692</v>
      </c>
      <c r="K6" s="3">
        <v>1702</v>
      </c>
      <c r="L6" s="3">
        <v>1716</v>
      </c>
      <c r="M6" s="1">
        <f>IFERROR(ROUND(AVERAGE(Table35[[#This Row],[Capacity (mAh)
(Test '#1)]:[Capacity (mAh)
(Test '#4)]]),0),"")</f>
        <v>1685</v>
      </c>
      <c r="N6" s="8">
        <v>48</v>
      </c>
      <c r="O6" s="11">
        <v>24.99</v>
      </c>
      <c r="P6" s="11">
        <f>IFERROR(Table35[[#This Row],[Package Price
($)]]/Table35[[#This Row],[Package Quantity]],"")</f>
        <v>0.520625</v>
      </c>
      <c r="Q6" s="1">
        <f>IFERROR(Table35[[#This Row],[Capacity (mAh)
(Averaged)]]/Table35[[#This Row],[Price per battery
($)]],"")</f>
        <v>3236.4945978391356</v>
      </c>
    </row>
    <row r="7" spans="1:17" x14ac:dyDescent="0.25">
      <c r="A7" s="2" t="s">
        <v>2</v>
      </c>
      <c r="B7" s="2" t="s">
        <v>6</v>
      </c>
      <c r="C7" s="2" t="s">
        <v>48</v>
      </c>
      <c r="D7" s="2" t="s">
        <v>14</v>
      </c>
      <c r="E7" s="2" t="s">
        <v>12</v>
      </c>
      <c r="F7" s="2" t="s">
        <v>17</v>
      </c>
      <c r="G7" s="2" t="s">
        <v>5</v>
      </c>
      <c r="H7" s="2" t="s">
        <v>15</v>
      </c>
      <c r="I7" s="3">
        <v>1816</v>
      </c>
      <c r="J7" s="3">
        <v>1737</v>
      </c>
      <c r="K7" s="3">
        <v>1771</v>
      </c>
      <c r="L7" s="3">
        <v>1722</v>
      </c>
      <c r="M7" s="1">
        <f>IFERROR(ROUND(AVERAGE(Table35[[#This Row],[Capacity (mAh)
(Test '#1)]:[Capacity (mAh)
(Test '#4)]]),0),"")</f>
        <v>1762</v>
      </c>
      <c r="N7" s="8">
        <v>4</v>
      </c>
      <c r="O7" s="11">
        <v>24.99</v>
      </c>
      <c r="P7" s="11">
        <f>IFERROR(Table35[[#This Row],[Package Price
($)]]/Table35[[#This Row],[Package Quantity]],"")</f>
        <v>6.2474999999999996</v>
      </c>
      <c r="Q7" s="1">
        <f>IFERROR(Table35[[#This Row],[Capacity (mAh)
(Averaged)]]/Table35[[#This Row],[Price per battery
($)]],"")</f>
        <v>282.03281312525013</v>
      </c>
    </row>
    <row r="8" spans="1:17" x14ac:dyDescent="0.25">
      <c r="A8" s="2" t="s">
        <v>0</v>
      </c>
      <c r="B8" s="2" t="s">
        <v>6</v>
      </c>
      <c r="C8" s="2" t="s">
        <v>48</v>
      </c>
      <c r="D8" s="2" t="s">
        <v>13</v>
      </c>
      <c r="E8" s="2" t="s">
        <v>12</v>
      </c>
      <c r="F8" s="2" t="s">
        <v>18</v>
      </c>
      <c r="G8" s="2" t="s">
        <v>5</v>
      </c>
      <c r="H8" s="2" t="s">
        <v>15</v>
      </c>
      <c r="I8" s="3">
        <v>1821</v>
      </c>
      <c r="J8" s="3">
        <v>1693</v>
      </c>
      <c r="K8" s="3">
        <v>1853</v>
      </c>
      <c r="L8" s="3">
        <v>1741</v>
      </c>
      <c r="M8" s="1">
        <f>IFERROR(ROUND(AVERAGE(Table35[[#This Row],[Capacity (mAh)
(Test '#1)]:[Capacity (mAh)
(Test '#4)]]),0),"")</f>
        <v>1777</v>
      </c>
      <c r="N8" s="8">
        <v>4</v>
      </c>
      <c r="O8" s="11">
        <v>16.989999999999998</v>
      </c>
      <c r="P8" s="11">
        <f>IFERROR(Table35[[#This Row],[Package Price
($)]]/Table35[[#This Row],[Package Quantity]],"")</f>
        <v>4.2474999999999996</v>
      </c>
      <c r="Q8" s="1">
        <f>IFERROR(Table35[[#This Row],[Capacity (mAh)
(Averaged)]]/Table35[[#This Row],[Price per battery
($)]],"")</f>
        <v>418.36374337845797</v>
      </c>
    </row>
    <row r="9" spans="1:17" x14ac:dyDescent="0.25">
      <c r="A9" s="2"/>
      <c r="B9" s="2" t="s">
        <v>6</v>
      </c>
      <c r="C9" s="2"/>
      <c r="D9" s="2"/>
      <c r="E9" s="2"/>
      <c r="F9" s="2"/>
      <c r="G9" s="2"/>
      <c r="H9" s="2"/>
      <c r="I9" s="3"/>
      <c r="J9" s="3"/>
      <c r="K9" s="3"/>
      <c r="L9" s="3"/>
      <c r="M9" s="1" t="str">
        <f>IFERROR(ROUND(AVERAGE(Table35[[#This Row],[Capacity (mAh)
(Test '#1)]:[Capacity (mAh)
(Test '#4)]]),0),"")</f>
        <v/>
      </c>
      <c r="P9" s="11" t="str">
        <f>IFERROR(Table35[[#This Row],[Package Price
($)]]/Table35[[#This Row],[Package Quantity]],"")</f>
        <v/>
      </c>
      <c r="Q9" s="1" t="str">
        <f>IFERROR(Table35[[#This Row],[Capacity (mAh)
(Averaged)]]/Table35[[#This Row],[Price per battery
($)]],"")</f>
        <v/>
      </c>
    </row>
    <row r="10" spans="1:17" x14ac:dyDescent="0.25">
      <c r="A10" s="2"/>
      <c r="B10" s="2" t="s">
        <v>6</v>
      </c>
      <c r="C10" s="2"/>
      <c r="D10" s="2"/>
      <c r="E10" s="2"/>
      <c r="F10" s="2"/>
      <c r="G10" s="2"/>
      <c r="H10" s="2"/>
      <c r="I10" s="3"/>
      <c r="J10" s="3"/>
      <c r="K10" s="3"/>
      <c r="L10" s="3"/>
      <c r="M10" s="1" t="str">
        <f>IFERROR(ROUND(AVERAGE(Table35[[#This Row],[Capacity (mAh)
(Test '#1)]:[Capacity (mAh)
(Test '#4)]]),0),"")</f>
        <v/>
      </c>
      <c r="P10" s="11" t="str">
        <f>IFERROR(Table35[[#This Row],[Package Price
($)]]/Table35[[#This Row],[Package Quantity]],"")</f>
        <v/>
      </c>
      <c r="Q10" s="1" t="str">
        <f>IFERROR(Table35[[#This Row],[Capacity (mAh)
(Averaged)]]/Table35[[#This Row],[Price per battery
($)]],"")</f>
        <v/>
      </c>
    </row>
    <row r="11" spans="1:17" x14ac:dyDescent="0.25">
      <c r="A11" s="2"/>
      <c r="B11" s="2" t="s">
        <v>6</v>
      </c>
      <c r="C11" s="2"/>
      <c r="D11" s="2"/>
      <c r="E11" s="2"/>
      <c r="F11" s="2"/>
      <c r="G11" s="2"/>
      <c r="H11" s="2"/>
      <c r="I11" s="3"/>
      <c r="J11" s="3"/>
      <c r="K11" s="3"/>
      <c r="L11" s="3"/>
      <c r="M11" s="1" t="str">
        <f>IFERROR(ROUND(AVERAGE(Table35[[#This Row],[Capacity (mAh)
(Test '#1)]:[Capacity (mAh)
(Test '#4)]]),0),"")</f>
        <v/>
      </c>
      <c r="P11" s="11" t="str">
        <f>IFERROR(Table35[[#This Row],[Package Price
($)]]/Table35[[#This Row],[Package Quantity]],"")</f>
        <v/>
      </c>
      <c r="Q11" s="1" t="str">
        <f>IFERROR(Table35[[#This Row],[Capacity (mAh)
(Averaged)]]/Table35[[#This Row],[Price per battery
($)]],"")</f>
        <v/>
      </c>
    </row>
    <row r="12" spans="1:17" x14ac:dyDescent="0.25">
      <c r="A12" s="2"/>
      <c r="B12" s="2" t="s">
        <v>6</v>
      </c>
      <c r="C12" s="2"/>
      <c r="D12" s="2"/>
      <c r="E12" s="2"/>
      <c r="F12" s="2"/>
      <c r="G12" s="2"/>
      <c r="H12" s="2"/>
      <c r="I12" s="3"/>
      <c r="J12" s="3"/>
      <c r="K12" s="3"/>
      <c r="L12" s="3"/>
      <c r="M12" s="1" t="str">
        <f>IFERROR(ROUND(AVERAGE(Table35[[#This Row],[Capacity (mAh)
(Test '#1)]:[Capacity (mAh)
(Test '#4)]]),0),"")</f>
        <v/>
      </c>
      <c r="P12" s="11" t="str">
        <f>IFERROR(Table35[[#This Row],[Package Price
($)]]/Table35[[#This Row],[Package Quantity]],"")</f>
        <v/>
      </c>
      <c r="Q12" s="1" t="str">
        <f>IFERROR(Table35[[#This Row],[Capacity (mAh)
(Averaged)]]/Table35[[#This Row],[Price per battery
($)]],"")</f>
        <v/>
      </c>
    </row>
    <row r="13" spans="1:17" x14ac:dyDescent="0.25">
      <c r="A13" s="2"/>
      <c r="B13" s="2" t="s">
        <v>6</v>
      </c>
      <c r="C13" s="2"/>
      <c r="D13" s="2"/>
      <c r="E13" s="2"/>
      <c r="F13" s="2"/>
      <c r="G13" s="2"/>
      <c r="H13" s="2"/>
      <c r="I13" s="3"/>
      <c r="J13" s="3"/>
      <c r="K13" s="3"/>
      <c r="L13" s="3"/>
      <c r="M13" s="1" t="str">
        <f>IFERROR(ROUND(AVERAGE(Table35[[#This Row],[Capacity (mAh)
(Test '#1)]:[Capacity (mAh)
(Test '#4)]]),0),"")</f>
        <v/>
      </c>
      <c r="P13" s="11" t="str">
        <f>IFERROR(Table35[[#This Row],[Package Price
($)]]/Table35[[#This Row],[Package Quantity]],"")</f>
        <v/>
      </c>
      <c r="Q13" s="1" t="str">
        <f>IFERROR(Table35[[#This Row],[Capacity (mAh)
(Averaged)]]/Table35[[#This Row],[Price per battery
($)]],"")</f>
        <v/>
      </c>
    </row>
    <row r="14" spans="1:17" x14ac:dyDescent="0.25">
      <c r="A14" s="2"/>
      <c r="B14" s="2" t="s">
        <v>6</v>
      </c>
      <c r="C14" s="2"/>
      <c r="D14" s="2"/>
      <c r="E14" s="2"/>
      <c r="F14" s="2"/>
      <c r="G14" s="2"/>
      <c r="H14" s="2"/>
      <c r="I14" s="3"/>
      <c r="J14" s="3"/>
      <c r="K14" s="3"/>
      <c r="L14" s="3"/>
      <c r="M14" s="1" t="str">
        <f>IFERROR(ROUND(AVERAGE(Table35[[#This Row],[Capacity (mAh)
(Test '#1)]:[Capacity (mAh)
(Test '#4)]]),0),"")</f>
        <v/>
      </c>
      <c r="P14" s="11" t="str">
        <f>IFERROR(Table35[[#This Row],[Package Price
($)]]/Table35[[#This Row],[Package Quantity]],"")</f>
        <v/>
      </c>
      <c r="Q14" s="1" t="str">
        <f>IFERROR(Table35[[#This Row],[Capacity (mAh)
(Averaged)]]/Table35[[#This Row],[Price per battery
($)]],"")</f>
        <v/>
      </c>
    </row>
    <row r="15" spans="1:17" x14ac:dyDescent="0.25">
      <c r="A15" s="2"/>
      <c r="B15" s="2" t="s">
        <v>6</v>
      </c>
      <c r="C15" s="2"/>
      <c r="D15" s="2"/>
      <c r="E15" s="2"/>
      <c r="F15" s="2"/>
      <c r="G15" s="2"/>
      <c r="H15" s="2"/>
      <c r="I15" s="3"/>
      <c r="J15" s="3"/>
      <c r="K15" s="3"/>
      <c r="L15" s="3"/>
      <c r="M15" s="1" t="str">
        <f>IFERROR(ROUND(AVERAGE(Table35[[#This Row],[Capacity (mAh)
(Test '#1)]:[Capacity (mAh)
(Test '#4)]]),0),"")</f>
        <v/>
      </c>
      <c r="P15" s="11" t="str">
        <f>IFERROR(Table35[[#This Row],[Package Price
($)]]/Table35[[#This Row],[Package Quantity]],"")</f>
        <v/>
      </c>
      <c r="Q15" s="1" t="str">
        <f>IFERROR(Table35[[#This Row],[Capacity (mAh)
(Averaged)]]/Table35[[#This Row],[Price per battery
($)]],"")</f>
        <v/>
      </c>
    </row>
    <row r="16" spans="1:17" x14ac:dyDescent="0.25">
      <c r="A16" s="2"/>
      <c r="B16" s="2" t="s">
        <v>6</v>
      </c>
      <c r="C16" s="2"/>
      <c r="D16" s="2"/>
      <c r="E16" s="2"/>
      <c r="F16" s="2"/>
      <c r="G16" s="2"/>
      <c r="H16" s="2"/>
      <c r="I16" s="3"/>
      <c r="J16" s="3"/>
      <c r="K16" s="3"/>
      <c r="L16" s="3"/>
      <c r="M16" s="1" t="str">
        <f>IFERROR(ROUND(AVERAGE(Table35[[#This Row],[Capacity (mAh)
(Test '#1)]:[Capacity (mAh)
(Test '#4)]]),0),"")</f>
        <v/>
      </c>
      <c r="P16" s="11" t="str">
        <f>IFERROR(Table35[[#This Row],[Package Price
($)]]/Table35[[#This Row],[Package Quantity]],"")</f>
        <v/>
      </c>
      <c r="Q16" s="1" t="str">
        <f>IFERROR(Table35[[#This Row],[Capacity (mAh)
(Averaged)]]/Table35[[#This Row],[Price per battery
($)]],"")</f>
        <v/>
      </c>
    </row>
    <row r="17" spans="1:17" x14ac:dyDescent="0.25">
      <c r="A17" s="2"/>
      <c r="B17" s="2" t="s">
        <v>6</v>
      </c>
      <c r="C17" s="2"/>
      <c r="D17" s="2"/>
      <c r="E17" s="2"/>
      <c r="F17" s="2"/>
      <c r="G17" s="2"/>
      <c r="H17" s="2"/>
      <c r="I17" s="3"/>
      <c r="J17" s="3"/>
      <c r="K17" s="3"/>
      <c r="L17" s="3"/>
      <c r="M17" s="1" t="str">
        <f>IFERROR(ROUND(AVERAGE(Table35[[#This Row],[Capacity (mAh)
(Test '#1)]:[Capacity (mAh)
(Test '#4)]]),0),"")</f>
        <v/>
      </c>
      <c r="P17" s="11" t="str">
        <f>IFERROR(Table35[[#This Row],[Package Price
($)]]/Table35[[#This Row],[Package Quantity]],"")</f>
        <v/>
      </c>
      <c r="Q17" s="1" t="str">
        <f>IFERROR(Table35[[#This Row],[Capacity (mAh)
(Averaged)]]/Table35[[#This Row],[Price per battery
($)]],"")</f>
        <v/>
      </c>
    </row>
    <row r="18" spans="1:17" x14ac:dyDescent="0.25">
      <c r="A18" s="2"/>
      <c r="B18" s="2" t="s">
        <v>6</v>
      </c>
      <c r="C18" s="2"/>
      <c r="D18" s="2"/>
      <c r="E18" s="2"/>
      <c r="F18" s="2"/>
      <c r="G18" s="2"/>
      <c r="H18" s="2"/>
      <c r="I18" s="3"/>
      <c r="J18" s="3"/>
      <c r="K18" s="3"/>
      <c r="L18" s="3"/>
      <c r="M18" s="1" t="str">
        <f>IFERROR(ROUND(AVERAGE(Table35[[#This Row],[Capacity (mAh)
(Test '#1)]:[Capacity (mAh)
(Test '#4)]]),0),"")</f>
        <v/>
      </c>
      <c r="P18" s="11" t="str">
        <f>IFERROR(Table35[[#This Row],[Package Price
($)]]/Table35[[#This Row],[Package Quantity]],"")</f>
        <v/>
      </c>
      <c r="Q18" s="1" t="str">
        <f>IFERROR(Table35[[#This Row],[Capacity (mAh)
(Averaged)]]/Table35[[#This Row],[Price per battery
($)]],"")</f>
        <v/>
      </c>
    </row>
    <row r="19" spans="1:17" x14ac:dyDescent="0.25">
      <c r="A19" s="2"/>
      <c r="B19" s="2" t="s">
        <v>6</v>
      </c>
      <c r="C19" s="2"/>
      <c r="D19" s="2"/>
      <c r="E19" s="2"/>
      <c r="F19" s="2"/>
      <c r="G19" s="2"/>
      <c r="H19" s="2"/>
      <c r="I19" s="3"/>
      <c r="J19" s="3"/>
      <c r="K19" s="3"/>
      <c r="L19" s="3"/>
      <c r="M19" s="1" t="str">
        <f>IFERROR(ROUND(AVERAGE(Table35[[#This Row],[Capacity (mAh)
(Test '#1)]:[Capacity (mAh)
(Test '#4)]]),0),"")</f>
        <v/>
      </c>
      <c r="P19" s="11" t="str">
        <f>IFERROR(Table35[[#This Row],[Package Price
($)]]/Table35[[#This Row],[Package Quantity]],"")</f>
        <v/>
      </c>
      <c r="Q19" s="1" t="str">
        <f>IFERROR(Table35[[#This Row],[Capacity (mAh)
(Averaged)]]/Table35[[#This Row],[Price per battery
($)]],"")</f>
        <v/>
      </c>
    </row>
    <row r="20" spans="1:17" x14ac:dyDescent="0.25">
      <c r="A20" s="2"/>
      <c r="B20" s="2" t="s">
        <v>6</v>
      </c>
      <c r="C20" s="2"/>
      <c r="D20" s="2"/>
      <c r="E20" s="2"/>
      <c r="F20" s="2"/>
      <c r="G20" s="2"/>
      <c r="H20" s="2"/>
      <c r="I20" s="3"/>
      <c r="J20" s="3"/>
      <c r="K20" s="3"/>
      <c r="L20" s="3"/>
      <c r="M20" s="1" t="str">
        <f>IFERROR(ROUND(AVERAGE(Table35[[#This Row],[Capacity (mAh)
(Test '#1)]:[Capacity (mAh)
(Test '#4)]]),0),"")</f>
        <v/>
      </c>
      <c r="P20" s="11" t="str">
        <f>IFERROR(Table35[[#This Row],[Package Price
($)]]/Table35[[#This Row],[Package Quantity]],"")</f>
        <v/>
      </c>
      <c r="Q20" s="1" t="str">
        <f>IFERROR(Table35[[#This Row],[Capacity (mAh)
(Averaged)]]/Table35[[#This Row],[Price per battery
($)]],"")</f>
        <v/>
      </c>
    </row>
    <row r="21" spans="1:17" x14ac:dyDescent="0.25">
      <c r="A21" s="2"/>
      <c r="B21" s="2" t="s">
        <v>6</v>
      </c>
      <c r="C21" s="2"/>
      <c r="D21" s="2"/>
      <c r="E21" s="2"/>
      <c r="F21" s="2"/>
      <c r="G21" s="2"/>
      <c r="H21" s="2"/>
      <c r="I21" s="3"/>
      <c r="J21" s="3"/>
      <c r="K21" s="3"/>
      <c r="L21" s="3"/>
      <c r="M21" s="1" t="str">
        <f>IFERROR(ROUND(AVERAGE(Table35[[#This Row],[Capacity (mAh)
(Test '#1)]:[Capacity (mAh)
(Test '#4)]]),0),"")</f>
        <v/>
      </c>
      <c r="P21" s="11" t="str">
        <f>IFERROR(Table35[[#This Row],[Package Price
($)]]/Table35[[#This Row],[Package Quantity]],"")</f>
        <v/>
      </c>
      <c r="Q21" s="1" t="str">
        <f>IFERROR(Table35[[#This Row],[Capacity (mAh)
(Averaged)]]/Table35[[#This Row],[Price per battery
($)]],"")</f>
        <v/>
      </c>
    </row>
    <row r="22" spans="1:17" x14ac:dyDescent="0.25">
      <c r="A22" s="2"/>
      <c r="B22" s="2" t="s">
        <v>6</v>
      </c>
      <c r="C22" s="2"/>
      <c r="D22" s="2"/>
      <c r="E22" s="2"/>
      <c r="F22" s="2"/>
      <c r="G22" s="2"/>
      <c r="H22" s="2"/>
      <c r="I22" s="3"/>
      <c r="J22" s="3"/>
      <c r="K22" s="3"/>
      <c r="L22" s="3"/>
      <c r="M22" s="1" t="str">
        <f>IFERROR(ROUND(AVERAGE(Table35[[#This Row],[Capacity (mAh)
(Test '#1)]:[Capacity (mAh)
(Test '#4)]]),0),"")</f>
        <v/>
      </c>
      <c r="P22" s="11" t="str">
        <f>IFERROR(Table35[[#This Row],[Package Price
($)]]/Table35[[#This Row],[Package Quantity]],"")</f>
        <v/>
      </c>
      <c r="Q22" s="1" t="str">
        <f>IFERROR(Table35[[#This Row],[Capacity (mAh)
(Averaged)]]/Table35[[#This Row],[Price per battery
($)]],"")</f>
        <v/>
      </c>
    </row>
    <row r="23" spans="1:17" x14ac:dyDescent="0.25">
      <c r="A23" s="2"/>
      <c r="B23" s="2" t="s">
        <v>6</v>
      </c>
      <c r="C23" s="2"/>
      <c r="D23" s="2"/>
      <c r="E23" s="2"/>
      <c r="F23" s="2"/>
      <c r="G23" s="2"/>
      <c r="H23" s="2"/>
      <c r="I23" s="3"/>
      <c r="J23" s="3"/>
      <c r="K23" s="3"/>
      <c r="L23" s="3"/>
      <c r="M23" s="1" t="str">
        <f>IFERROR(ROUND(AVERAGE(Table35[[#This Row],[Capacity (mAh)
(Test '#1)]:[Capacity (mAh)
(Test '#4)]]),0),"")</f>
        <v/>
      </c>
      <c r="P23" s="11" t="str">
        <f>IFERROR(Table35[[#This Row],[Package Price
($)]]/Table35[[#This Row],[Package Quantity]],"")</f>
        <v/>
      </c>
      <c r="Q23" s="1" t="str">
        <f>IFERROR(Table35[[#This Row],[Capacity (mAh)
(Averaged)]]/Table35[[#This Row],[Price per battery
($)]],"")</f>
        <v/>
      </c>
    </row>
    <row r="24" spans="1:17" x14ac:dyDescent="0.25">
      <c r="A24" s="2"/>
      <c r="B24" s="2" t="s">
        <v>6</v>
      </c>
      <c r="C24" s="2"/>
      <c r="D24" s="2"/>
      <c r="E24" s="2"/>
      <c r="F24" s="2"/>
      <c r="G24" s="2"/>
      <c r="H24" s="2"/>
      <c r="I24" s="3"/>
      <c r="J24" s="3"/>
      <c r="K24" s="3"/>
      <c r="L24" s="3"/>
      <c r="M24" s="1" t="str">
        <f>IFERROR(ROUND(AVERAGE(Table35[[#This Row],[Capacity (mAh)
(Test '#1)]:[Capacity (mAh)
(Test '#4)]]),0),"")</f>
        <v/>
      </c>
      <c r="P24" s="11" t="str">
        <f>IFERROR(Table35[[#This Row],[Package Price
($)]]/Table35[[#This Row],[Package Quantity]],"")</f>
        <v/>
      </c>
      <c r="Q24" s="1" t="str">
        <f>IFERROR(Table35[[#This Row],[Capacity (mAh)
(Averaged)]]/Table35[[#This Row],[Price per battery
($)]],"")</f>
        <v/>
      </c>
    </row>
    <row r="25" spans="1:17" x14ac:dyDescent="0.25">
      <c r="A25" s="2"/>
      <c r="B25" s="2" t="s">
        <v>6</v>
      </c>
      <c r="C25" s="2"/>
      <c r="D25" s="2"/>
      <c r="E25" s="2"/>
      <c r="F25" s="2"/>
      <c r="G25" s="2"/>
      <c r="H25" s="2"/>
      <c r="I25" s="3"/>
      <c r="J25" s="3"/>
      <c r="K25" s="3"/>
      <c r="L25" s="3"/>
      <c r="M25" s="1" t="str">
        <f>IFERROR(ROUND(AVERAGE(Table35[[#This Row],[Capacity (mAh)
(Test '#1)]:[Capacity (mAh)
(Test '#4)]]),0),"")</f>
        <v/>
      </c>
      <c r="P25" s="11" t="str">
        <f>IFERROR(Table35[[#This Row],[Package Price
($)]]/Table35[[#This Row],[Package Quantity]],"")</f>
        <v/>
      </c>
      <c r="Q25" s="1" t="str">
        <f>IFERROR(Table35[[#This Row],[Capacity (mAh)
(Averaged)]]/Table35[[#This Row],[Price per battery
($)]],"")</f>
        <v/>
      </c>
    </row>
  </sheetData>
  <conditionalFormatting sqref="M2:M25">
    <cfRule type="colorScale" priority="3">
      <colorScale>
        <cfvo type="min"/>
        <cfvo type="percentile" val="50"/>
        <cfvo type="max"/>
        <color rgb="FFFCCCCD"/>
        <color rgb="FFFFF4BD"/>
        <color rgb="FFC9E9D1"/>
      </colorScale>
    </cfRule>
  </conditionalFormatting>
  <pageMargins left="0.7" right="0.7" top="0.75" bottom="0.75" header="0.3" footer="0.3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BD02D-1588-4CBA-A3C2-B7A49904AF92}">
  <dimension ref="A1:Q25"/>
  <sheetViews>
    <sheetView zoomScale="115" zoomScaleNormal="115" workbookViewId="0"/>
  </sheetViews>
  <sheetFormatPr defaultRowHeight="15" x14ac:dyDescent="0.25"/>
  <cols>
    <col min="1" max="1" width="18.140625" bestFit="1" customWidth="1"/>
    <col min="3" max="3" width="12.28515625" bestFit="1" customWidth="1"/>
    <col min="4" max="4" width="6.85546875" customWidth="1"/>
    <col min="5" max="5" width="7.5703125" customWidth="1"/>
    <col min="6" max="6" width="9.85546875" bestFit="1" customWidth="1"/>
    <col min="7" max="7" width="8.85546875" bestFit="1" customWidth="1"/>
    <col min="8" max="8" width="10" bestFit="1" customWidth="1"/>
    <col min="9" max="12" width="10.85546875" style="1" bestFit="1" customWidth="1"/>
    <col min="13" max="13" width="13.140625" style="1" bestFit="1" customWidth="1"/>
    <col min="14" max="14" width="11" style="8" bestFit="1" customWidth="1"/>
    <col min="15" max="15" width="10.42578125" style="11" bestFit="1" customWidth="1"/>
    <col min="16" max="16" width="11.140625" style="11" bestFit="1" customWidth="1"/>
    <col min="17" max="17" width="10.85546875" style="1" customWidth="1"/>
  </cols>
  <sheetData>
    <row r="1" spans="1:17" s="4" customFormat="1" ht="45" x14ac:dyDescent="0.25">
      <c r="A1" s="4" t="s">
        <v>24</v>
      </c>
      <c r="B1" s="4" t="s">
        <v>25</v>
      </c>
      <c r="C1" s="4" t="s">
        <v>46</v>
      </c>
      <c r="D1" s="4" t="s">
        <v>9</v>
      </c>
      <c r="E1" s="4" t="s">
        <v>10</v>
      </c>
      <c r="F1" s="4" t="s">
        <v>16</v>
      </c>
      <c r="G1" s="4" t="s">
        <v>43</v>
      </c>
      <c r="H1" s="4" t="s">
        <v>44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9" t="s">
        <v>35</v>
      </c>
      <c r="O1" s="10" t="s">
        <v>41</v>
      </c>
      <c r="P1" s="10" t="s">
        <v>42</v>
      </c>
      <c r="Q1" s="12" t="s">
        <v>45</v>
      </c>
    </row>
    <row r="2" spans="1:17" x14ac:dyDescent="0.25">
      <c r="A2" s="2" t="s">
        <v>33</v>
      </c>
      <c r="B2" s="2" t="s">
        <v>7</v>
      </c>
      <c r="C2" s="2" t="s">
        <v>47</v>
      </c>
      <c r="D2" s="2" t="s">
        <v>20</v>
      </c>
      <c r="E2" s="2" t="s">
        <v>20</v>
      </c>
      <c r="F2" s="2" t="s">
        <v>20</v>
      </c>
      <c r="G2" s="2" t="s">
        <v>5</v>
      </c>
      <c r="H2" s="2" t="s">
        <v>15</v>
      </c>
      <c r="I2" s="3">
        <v>127</v>
      </c>
      <c r="J2" s="3">
        <v>151</v>
      </c>
      <c r="K2" s="3">
        <v>131</v>
      </c>
      <c r="L2" s="3">
        <v>125</v>
      </c>
      <c r="M2" s="1">
        <f>IFERROR(ROUND(AVERAGE(Table3[[#This Row],[Capacity (mAh)
(Test '#1)]:[Capacity (mAh)
(Test '#4)]]),0),"")</f>
        <v>134</v>
      </c>
      <c r="N2" s="8">
        <v>8</v>
      </c>
      <c r="O2" s="11">
        <v>1.5</v>
      </c>
      <c r="P2" s="11">
        <f>IFERROR(Table3[[#This Row],[Package Price
($)]]/Table3[[#This Row],[Package Quantity]],"")</f>
        <v>0.1875</v>
      </c>
      <c r="Q2" s="1">
        <f>IFERROR(Table3[[#This Row],[Capacity (mAh)
(Averaged)]]/Table3[[#This Row],[Price per battery
($)]],"")</f>
        <v>714.66666666666663</v>
      </c>
    </row>
    <row r="3" spans="1:17" x14ac:dyDescent="0.25">
      <c r="A3" s="2" t="s">
        <v>23</v>
      </c>
      <c r="B3" s="2" t="s">
        <v>7</v>
      </c>
      <c r="C3" s="2" t="s">
        <v>48</v>
      </c>
      <c r="D3" s="2" t="s">
        <v>13</v>
      </c>
      <c r="E3" s="2" t="s">
        <v>11</v>
      </c>
      <c r="F3" s="2" t="s">
        <v>17</v>
      </c>
      <c r="G3" s="2" t="s">
        <v>5</v>
      </c>
      <c r="H3" s="2" t="s">
        <v>15</v>
      </c>
      <c r="I3" s="3">
        <v>379</v>
      </c>
      <c r="J3" s="3">
        <v>334</v>
      </c>
      <c r="K3" s="3">
        <v>403</v>
      </c>
      <c r="L3" s="3">
        <v>348</v>
      </c>
      <c r="M3" s="1">
        <f>IFERROR(ROUND(AVERAGE(Table3[[#This Row],[Capacity (mAh)
(Test '#1)]:[Capacity (mAh)
(Test '#4)]]),0),"")</f>
        <v>366</v>
      </c>
      <c r="N3" s="8">
        <v>4</v>
      </c>
      <c r="O3" s="11">
        <v>16.98</v>
      </c>
      <c r="P3" s="11">
        <f>IFERROR(Table3[[#This Row],[Package Price
($)]]/Table3[[#This Row],[Package Quantity]],"")</f>
        <v>4.2450000000000001</v>
      </c>
      <c r="Q3" s="1">
        <f>IFERROR(Table3[[#This Row],[Capacity (mAh)
(Averaged)]]/Table3[[#This Row],[Price per battery
($)]],"")</f>
        <v>86.219081272084807</v>
      </c>
    </row>
    <row r="4" spans="1:17" x14ac:dyDescent="0.25">
      <c r="A4" s="2" t="s">
        <v>4</v>
      </c>
      <c r="B4" s="2" t="s">
        <v>7</v>
      </c>
      <c r="C4" s="2" t="s">
        <v>48</v>
      </c>
      <c r="D4" s="2" t="s">
        <v>13</v>
      </c>
      <c r="E4" s="2" t="s">
        <v>11</v>
      </c>
      <c r="F4" s="2" t="s">
        <v>17</v>
      </c>
      <c r="G4" s="2" t="s">
        <v>5</v>
      </c>
      <c r="H4" s="2" t="s">
        <v>15</v>
      </c>
      <c r="I4" s="3">
        <v>377</v>
      </c>
      <c r="J4" s="3">
        <v>384</v>
      </c>
      <c r="K4" s="3">
        <v>372</v>
      </c>
      <c r="L4" s="3">
        <v>378</v>
      </c>
      <c r="M4" s="1">
        <f>IFERROR(ROUND(AVERAGE(Table3[[#This Row],[Capacity (mAh)
(Test '#1)]:[Capacity (mAh)
(Test '#4)]]),0),"")</f>
        <v>378</v>
      </c>
      <c r="N4" s="8">
        <v>4</v>
      </c>
      <c r="O4" s="11">
        <v>16.989999999999998</v>
      </c>
      <c r="P4" s="11">
        <f>IFERROR(Table3[[#This Row],[Package Price
($)]]/Table3[[#This Row],[Package Quantity]],"")</f>
        <v>4.2474999999999996</v>
      </c>
      <c r="Q4" s="1">
        <f>IFERROR(Table3[[#This Row],[Capacity (mAh)
(Averaged)]]/Table3[[#This Row],[Price per battery
($)]],"")</f>
        <v>88.993525603296064</v>
      </c>
    </row>
    <row r="5" spans="1:17" x14ac:dyDescent="0.25">
      <c r="A5" s="2" t="s">
        <v>8</v>
      </c>
      <c r="B5" s="2" t="s">
        <v>7</v>
      </c>
      <c r="C5" s="2" t="s">
        <v>48</v>
      </c>
      <c r="D5" s="2" t="s">
        <v>13</v>
      </c>
      <c r="E5" s="2" t="s">
        <v>11</v>
      </c>
      <c r="F5" s="2" t="s">
        <v>17</v>
      </c>
      <c r="G5" s="2" t="s">
        <v>5</v>
      </c>
      <c r="H5" s="2" t="s">
        <v>15</v>
      </c>
      <c r="I5" s="3">
        <v>347</v>
      </c>
      <c r="J5" s="3">
        <v>485</v>
      </c>
      <c r="K5" s="3">
        <v>485</v>
      </c>
      <c r="L5" s="3">
        <v>464</v>
      </c>
      <c r="M5" s="1">
        <f>IFERROR(ROUND(AVERAGE(Table3[[#This Row],[Capacity (mAh)
(Test '#1)]:[Capacity (mAh)
(Test '#4)]]),0),"")</f>
        <v>445</v>
      </c>
      <c r="N5" s="8">
        <v>4</v>
      </c>
      <c r="O5" s="11">
        <v>15.99</v>
      </c>
      <c r="P5" s="11">
        <f>IFERROR(Table3[[#This Row],[Package Price
($)]]/Table3[[#This Row],[Package Quantity]],"")</f>
        <v>3.9975000000000001</v>
      </c>
      <c r="Q5" s="1">
        <f>IFERROR(Table3[[#This Row],[Capacity (mAh)
(Averaged)]]/Table3[[#This Row],[Price per battery
($)]],"")</f>
        <v>111.31957473420889</v>
      </c>
    </row>
    <row r="6" spans="1:17" x14ac:dyDescent="0.25">
      <c r="A6" s="2" t="s">
        <v>21</v>
      </c>
      <c r="B6" s="2" t="s">
        <v>7</v>
      </c>
      <c r="C6" s="2" t="s">
        <v>47</v>
      </c>
      <c r="D6" s="2" t="s">
        <v>20</v>
      </c>
      <c r="E6" s="2" t="s">
        <v>20</v>
      </c>
      <c r="F6" s="2" t="s">
        <v>20</v>
      </c>
      <c r="G6" s="2" t="s">
        <v>5</v>
      </c>
      <c r="H6" s="2" t="s">
        <v>15</v>
      </c>
      <c r="I6" s="3">
        <v>502</v>
      </c>
      <c r="J6" s="3">
        <v>475</v>
      </c>
      <c r="K6" s="3">
        <v>468</v>
      </c>
      <c r="L6" s="3">
        <v>496</v>
      </c>
      <c r="M6" s="1">
        <f>IFERROR(ROUND(AVERAGE(Table3[[#This Row],[Capacity (mAh)
(Test '#1)]:[Capacity (mAh)
(Test '#4)]]),0),"")</f>
        <v>485</v>
      </c>
      <c r="N6" s="8">
        <v>48</v>
      </c>
      <c r="O6" s="11">
        <v>21.93</v>
      </c>
      <c r="P6" s="11">
        <f>IFERROR(Table3[[#This Row],[Package Price
($)]]/Table3[[#This Row],[Package Quantity]],"")</f>
        <v>0.45687499999999998</v>
      </c>
      <c r="Q6" s="1">
        <f>IFERROR(Table3[[#This Row],[Capacity (mAh)
(Averaged)]]/Table3[[#This Row],[Price per battery
($)]],"")</f>
        <v>1061.5595075239398</v>
      </c>
    </row>
    <row r="7" spans="1:17" x14ac:dyDescent="0.25">
      <c r="A7" s="2" t="s">
        <v>3</v>
      </c>
      <c r="B7" s="2" t="s">
        <v>7</v>
      </c>
      <c r="C7" s="2" t="s">
        <v>48</v>
      </c>
      <c r="D7" s="2" t="s">
        <v>14</v>
      </c>
      <c r="E7" s="2" t="s">
        <v>12</v>
      </c>
      <c r="F7" s="2" t="s">
        <v>19</v>
      </c>
      <c r="G7" s="2" t="s">
        <v>5</v>
      </c>
      <c r="H7" s="2" t="s">
        <v>15</v>
      </c>
      <c r="I7" s="3">
        <v>596</v>
      </c>
      <c r="J7" s="3">
        <v>593</v>
      </c>
      <c r="K7" s="3">
        <v>547</v>
      </c>
      <c r="L7" s="3">
        <v>574</v>
      </c>
      <c r="M7" s="1">
        <f>IFERROR(ROUND(AVERAGE(Table3[[#This Row],[Capacity (mAh)
(Test '#1)]:[Capacity (mAh)
(Test '#4)]]),0),"")</f>
        <v>578</v>
      </c>
      <c r="N7" s="8">
        <v>4</v>
      </c>
      <c r="O7" s="11">
        <v>16.989999999999998</v>
      </c>
      <c r="P7" s="11">
        <f>IFERROR(Table3[[#This Row],[Package Price
($)]]/Table3[[#This Row],[Package Quantity]],"")</f>
        <v>4.2474999999999996</v>
      </c>
      <c r="Q7" s="1">
        <f>IFERROR(Table3[[#This Row],[Capacity (mAh)
(Averaged)]]/Table3[[#This Row],[Price per battery
($)]],"")</f>
        <v>136.08004708652149</v>
      </c>
    </row>
    <row r="8" spans="1:17" x14ac:dyDescent="0.25">
      <c r="A8" s="2" t="s">
        <v>22</v>
      </c>
      <c r="B8" s="2" t="s">
        <v>7</v>
      </c>
      <c r="C8" s="2" t="s">
        <v>47</v>
      </c>
      <c r="D8" s="2" t="s">
        <v>20</v>
      </c>
      <c r="E8" s="2" t="s">
        <v>20</v>
      </c>
      <c r="F8" s="2" t="s">
        <v>20</v>
      </c>
      <c r="G8" s="2" t="s">
        <v>5</v>
      </c>
      <c r="H8" s="2" t="s">
        <v>15</v>
      </c>
      <c r="I8" s="3">
        <v>605</v>
      </c>
      <c r="J8" s="3">
        <v>596</v>
      </c>
      <c r="K8" s="3">
        <v>620</v>
      </c>
      <c r="L8" s="3">
        <v>576</v>
      </c>
      <c r="M8" s="1">
        <f>IFERROR(ROUND(AVERAGE(Table3[[#This Row],[Capacity (mAh)
(Test '#1)]:[Capacity (mAh)
(Test '#4)]]),0),"")</f>
        <v>599</v>
      </c>
      <c r="N8" s="8">
        <v>16</v>
      </c>
      <c r="O8" s="11">
        <v>9.7899999999999991</v>
      </c>
      <c r="P8" s="11">
        <f>IFERROR(Table3[[#This Row],[Package Price
($)]]/Table3[[#This Row],[Package Quantity]],"")</f>
        <v>0.61187499999999995</v>
      </c>
      <c r="Q8" s="1">
        <f>IFERROR(Table3[[#This Row],[Capacity (mAh)
(Averaged)]]/Table3[[#This Row],[Price per battery
($)]],"")</f>
        <v>978.95812053115435</v>
      </c>
    </row>
    <row r="9" spans="1:17" x14ac:dyDescent="0.25">
      <c r="A9" s="2" t="s">
        <v>2</v>
      </c>
      <c r="B9" s="2" t="s">
        <v>7</v>
      </c>
      <c r="C9" s="2" t="s">
        <v>48</v>
      </c>
      <c r="D9" s="2" t="s">
        <v>14</v>
      </c>
      <c r="E9" s="2" t="s">
        <v>12</v>
      </c>
      <c r="F9" s="2" t="s">
        <v>17</v>
      </c>
      <c r="G9" s="2" t="s">
        <v>5</v>
      </c>
      <c r="H9" s="2" t="s">
        <v>15</v>
      </c>
      <c r="I9" s="3">
        <v>635</v>
      </c>
      <c r="J9" s="3">
        <v>635</v>
      </c>
      <c r="K9" s="3">
        <v>636</v>
      </c>
      <c r="L9" s="3">
        <v>652</v>
      </c>
      <c r="M9" s="1">
        <f>IFERROR(ROUND(AVERAGE(Table3[[#This Row],[Capacity (mAh)
(Test '#1)]:[Capacity (mAh)
(Test '#4)]]),0),"")</f>
        <v>640</v>
      </c>
      <c r="N9" s="8">
        <v>4</v>
      </c>
      <c r="O9" s="11">
        <v>21.99</v>
      </c>
      <c r="P9" s="11">
        <f>IFERROR(Table3[[#This Row],[Package Price
($)]]/Table3[[#This Row],[Package Quantity]],"")</f>
        <v>5.4974999999999996</v>
      </c>
      <c r="Q9" s="1">
        <f>IFERROR(Table3[[#This Row],[Capacity (mAh)
(Averaged)]]/Table3[[#This Row],[Price per battery
($)]],"")</f>
        <v>116.41655297862665</v>
      </c>
    </row>
    <row r="10" spans="1:17" x14ac:dyDescent="0.25">
      <c r="A10" s="2"/>
      <c r="B10" s="2" t="s">
        <v>7</v>
      </c>
      <c r="C10" s="2"/>
      <c r="D10" s="2"/>
      <c r="E10" s="2"/>
      <c r="F10" s="2"/>
      <c r="G10" s="2"/>
      <c r="H10" s="2"/>
      <c r="I10" s="3"/>
      <c r="J10" s="3"/>
      <c r="K10" s="3"/>
      <c r="L10" s="3"/>
      <c r="M10" s="1" t="str">
        <f>IFERROR(ROUND(AVERAGE(Table3[[#This Row],[Capacity (mAh)
(Test '#1)]:[Capacity (mAh)
(Test '#4)]]),0),"")</f>
        <v/>
      </c>
      <c r="P10" s="11" t="str">
        <f>IFERROR(Table3[[#This Row],[Package Price
($)]]/Table3[[#This Row],[Package Quantity]],"")</f>
        <v/>
      </c>
      <c r="Q10" s="1" t="str">
        <f>IFERROR(Table3[[#This Row],[Capacity (mAh)
(Averaged)]]/Table3[[#This Row],[Price per battery
($)]],"")</f>
        <v/>
      </c>
    </row>
    <row r="11" spans="1:17" x14ac:dyDescent="0.25">
      <c r="A11" s="2"/>
      <c r="B11" s="2" t="s">
        <v>7</v>
      </c>
      <c r="C11" s="2"/>
      <c r="D11" s="2"/>
      <c r="E11" s="2"/>
      <c r="F11" s="2"/>
      <c r="G11" s="2"/>
      <c r="H11" s="2"/>
      <c r="I11" s="3"/>
      <c r="J11" s="3"/>
      <c r="K11" s="3"/>
      <c r="L11" s="3"/>
      <c r="M11" s="1" t="str">
        <f>IFERROR(ROUND(AVERAGE(Table3[[#This Row],[Capacity (mAh)
(Test '#1)]:[Capacity (mAh)
(Test '#4)]]),0),"")</f>
        <v/>
      </c>
      <c r="P11" s="11" t="str">
        <f>IFERROR(Table3[[#This Row],[Package Price
($)]]/Table3[[#This Row],[Package Quantity]],"")</f>
        <v/>
      </c>
      <c r="Q11" s="1" t="str">
        <f>IFERROR(Table3[[#This Row],[Capacity (mAh)
(Averaged)]]/Table3[[#This Row],[Price per battery
($)]],"")</f>
        <v/>
      </c>
    </row>
    <row r="12" spans="1:17" x14ac:dyDescent="0.25">
      <c r="A12" s="2"/>
      <c r="B12" s="2" t="s">
        <v>7</v>
      </c>
      <c r="C12" s="2"/>
      <c r="D12" s="2"/>
      <c r="E12" s="2"/>
      <c r="F12" s="2"/>
      <c r="G12" s="2"/>
      <c r="H12" s="2"/>
      <c r="I12" s="3"/>
      <c r="J12" s="3"/>
      <c r="K12" s="3"/>
      <c r="L12" s="3"/>
      <c r="M12" s="1" t="str">
        <f>IFERROR(ROUND(AVERAGE(Table3[[#This Row],[Capacity (mAh)
(Test '#1)]:[Capacity (mAh)
(Test '#4)]]),0),"")</f>
        <v/>
      </c>
      <c r="P12" s="11" t="str">
        <f>IFERROR(Table3[[#This Row],[Package Price
($)]]/Table3[[#This Row],[Package Quantity]],"")</f>
        <v/>
      </c>
      <c r="Q12" s="1" t="str">
        <f>IFERROR(Table3[[#This Row],[Capacity (mAh)
(Averaged)]]/Table3[[#This Row],[Price per battery
($)]],"")</f>
        <v/>
      </c>
    </row>
    <row r="13" spans="1:17" x14ac:dyDescent="0.25">
      <c r="A13" s="2"/>
      <c r="B13" s="2" t="s">
        <v>7</v>
      </c>
      <c r="C13" s="2"/>
      <c r="D13" s="2"/>
      <c r="E13" s="2"/>
      <c r="F13" s="2"/>
      <c r="G13" s="2"/>
      <c r="H13" s="2"/>
      <c r="I13" s="3"/>
      <c r="J13" s="3"/>
      <c r="K13" s="3"/>
      <c r="L13" s="3"/>
      <c r="M13" s="1" t="str">
        <f>IFERROR(ROUND(AVERAGE(Table3[[#This Row],[Capacity (mAh)
(Test '#1)]:[Capacity (mAh)
(Test '#4)]]),0),"")</f>
        <v/>
      </c>
      <c r="P13" s="11" t="str">
        <f>IFERROR(Table3[[#This Row],[Package Price
($)]]/Table3[[#This Row],[Package Quantity]],"")</f>
        <v/>
      </c>
      <c r="Q13" s="1" t="str">
        <f>IFERROR(Table3[[#This Row],[Capacity (mAh)
(Averaged)]]/Table3[[#This Row],[Price per battery
($)]],"")</f>
        <v/>
      </c>
    </row>
    <row r="14" spans="1:17" x14ac:dyDescent="0.25">
      <c r="A14" s="2"/>
      <c r="B14" s="2" t="s">
        <v>7</v>
      </c>
      <c r="C14" s="2"/>
      <c r="D14" s="2"/>
      <c r="E14" s="2"/>
      <c r="F14" s="2"/>
      <c r="G14" s="2"/>
      <c r="H14" s="2"/>
      <c r="I14" s="3"/>
      <c r="J14" s="3"/>
      <c r="K14" s="3"/>
      <c r="L14" s="3"/>
      <c r="M14" s="1" t="str">
        <f>IFERROR(ROUND(AVERAGE(Table3[[#This Row],[Capacity (mAh)
(Test '#1)]:[Capacity (mAh)
(Test '#4)]]),0),"")</f>
        <v/>
      </c>
      <c r="P14" s="11" t="str">
        <f>IFERROR(Table3[[#This Row],[Package Price
($)]]/Table3[[#This Row],[Package Quantity]],"")</f>
        <v/>
      </c>
      <c r="Q14" s="1" t="str">
        <f>IFERROR(Table3[[#This Row],[Capacity (mAh)
(Averaged)]]/Table3[[#This Row],[Price per battery
($)]],"")</f>
        <v/>
      </c>
    </row>
    <row r="15" spans="1:17" x14ac:dyDescent="0.25">
      <c r="A15" s="2"/>
      <c r="B15" s="2" t="s">
        <v>7</v>
      </c>
      <c r="C15" s="2"/>
      <c r="D15" s="2"/>
      <c r="E15" s="2"/>
      <c r="F15" s="2"/>
      <c r="G15" s="2"/>
      <c r="H15" s="2"/>
      <c r="I15" s="3"/>
      <c r="J15" s="3"/>
      <c r="K15" s="3"/>
      <c r="L15" s="3"/>
      <c r="M15" s="1" t="str">
        <f>IFERROR(ROUND(AVERAGE(Table3[[#This Row],[Capacity (mAh)
(Test '#1)]:[Capacity (mAh)
(Test '#4)]]),0),"")</f>
        <v/>
      </c>
      <c r="P15" s="11" t="str">
        <f>IFERROR(Table3[[#This Row],[Package Price
($)]]/Table3[[#This Row],[Package Quantity]],"")</f>
        <v/>
      </c>
      <c r="Q15" s="1" t="str">
        <f>IFERROR(Table3[[#This Row],[Capacity (mAh)
(Averaged)]]/Table3[[#This Row],[Price per battery
($)]],"")</f>
        <v/>
      </c>
    </row>
    <row r="16" spans="1:17" x14ac:dyDescent="0.25">
      <c r="A16" s="2"/>
      <c r="B16" s="2" t="s">
        <v>7</v>
      </c>
      <c r="C16" s="2"/>
      <c r="D16" s="2"/>
      <c r="E16" s="2"/>
      <c r="F16" s="2"/>
      <c r="G16" s="2"/>
      <c r="H16" s="2"/>
      <c r="I16" s="3"/>
      <c r="J16" s="3"/>
      <c r="K16" s="3"/>
      <c r="L16" s="3"/>
      <c r="M16" s="1" t="str">
        <f>IFERROR(ROUND(AVERAGE(Table3[[#This Row],[Capacity (mAh)
(Test '#1)]:[Capacity (mAh)
(Test '#4)]]),0),"")</f>
        <v/>
      </c>
      <c r="P16" s="11" t="str">
        <f>IFERROR(Table3[[#This Row],[Package Price
($)]]/Table3[[#This Row],[Package Quantity]],"")</f>
        <v/>
      </c>
      <c r="Q16" s="1" t="str">
        <f>IFERROR(Table3[[#This Row],[Capacity (mAh)
(Averaged)]]/Table3[[#This Row],[Price per battery
($)]],"")</f>
        <v/>
      </c>
    </row>
    <row r="17" spans="1:17" x14ac:dyDescent="0.25">
      <c r="A17" s="2"/>
      <c r="B17" s="2" t="s">
        <v>7</v>
      </c>
      <c r="C17" s="2"/>
      <c r="D17" s="2"/>
      <c r="E17" s="2"/>
      <c r="F17" s="2"/>
      <c r="G17" s="2"/>
      <c r="H17" s="2"/>
      <c r="I17" s="3"/>
      <c r="J17" s="3"/>
      <c r="K17" s="3"/>
      <c r="L17" s="3"/>
      <c r="M17" s="1" t="str">
        <f>IFERROR(ROUND(AVERAGE(Table3[[#This Row],[Capacity (mAh)
(Test '#1)]:[Capacity (mAh)
(Test '#4)]]),0),"")</f>
        <v/>
      </c>
      <c r="P17" s="11" t="str">
        <f>IFERROR(Table3[[#This Row],[Package Price
($)]]/Table3[[#This Row],[Package Quantity]],"")</f>
        <v/>
      </c>
      <c r="Q17" s="1" t="str">
        <f>IFERROR(Table3[[#This Row],[Capacity (mAh)
(Averaged)]]/Table3[[#This Row],[Price per battery
($)]],"")</f>
        <v/>
      </c>
    </row>
    <row r="18" spans="1:17" x14ac:dyDescent="0.25">
      <c r="A18" s="2"/>
      <c r="B18" s="2" t="s">
        <v>7</v>
      </c>
      <c r="C18" s="2"/>
      <c r="D18" s="2"/>
      <c r="E18" s="2"/>
      <c r="F18" s="2"/>
      <c r="G18" s="2"/>
      <c r="H18" s="2"/>
      <c r="I18" s="3"/>
      <c r="J18" s="3"/>
      <c r="K18" s="3"/>
      <c r="L18" s="3"/>
      <c r="M18" s="1" t="str">
        <f>IFERROR(ROUND(AVERAGE(Table3[[#This Row],[Capacity (mAh)
(Test '#1)]:[Capacity (mAh)
(Test '#4)]]),0),"")</f>
        <v/>
      </c>
      <c r="P18" s="11" t="str">
        <f>IFERROR(Table3[[#This Row],[Package Price
($)]]/Table3[[#This Row],[Package Quantity]],"")</f>
        <v/>
      </c>
      <c r="Q18" s="1" t="str">
        <f>IFERROR(Table3[[#This Row],[Capacity (mAh)
(Averaged)]]/Table3[[#This Row],[Price per battery
($)]],"")</f>
        <v/>
      </c>
    </row>
    <row r="19" spans="1:17" x14ac:dyDescent="0.25">
      <c r="A19" s="2"/>
      <c r="B19" s="2" t="s">
        <v>7</v>
      </c>
      <c r="C19" s="2"/>
      <c r="D19" s="2"/>
      <c r="E19" s="2"/>
      <c r="F19" s="2"/>
      <c r="G19" s="2"/>
      <c r="H19" s="2"/>
      <c r="I19" s="3"/>
      <c r="J19" s="3"/>
      <c r="K19" s="3"/>
      <c r="L19" s="3"/>
      <c r="M19" s="1" t="str">
        <f>IFERROR(ROUND(AVERAGE(Table3[[#This Row],[Capacity (mAh)
(Test '#1)]:[Capacity (mAh)
(Test '#4)]]),0),"")</f>
        <v/>
      </c>
      <c r="P19" s="11" t="str">
        <f>IFERROR(Table3[[#This Row],[Package Price
($)]]/Table3[[#This Row],[Package Quantity]],"")</f>
        <v/>
      </c>
      <c r="Q19" s="1" t="str">
        <f>IFERROR(Table3[[#This Row],[Capacity (mAh)
(Averaged)]]/Table3[[#This Row],[Price per battery
($)]],"")</f>
        <v/>
      </c>
    </row>
    <row r="20" spans="1:17" x14ac:dyDescent="0.25">
      <c r="A20" s="2"/>
      <c r="B20" s="2" t="s">
        <v>7</v>
      </c>
      <c r="C20" s="2"/>
      <c r="D20" s="2"/>
      <c r="E20" s="2"/>
      <c r="F20" s="2"/>
      <c r="G20" s="2"/>
      <c r="H20" s="2"/>
      <c r="I20" s="3"/>
      <c r="J20" s="3"/>
      <c r="K20" s="3"/>
      <c r="L20" s="3"/>
      <c r="M20" s="1" t="str">
        <f>IFERROR(ROUND(AVERAGE(Table3[[#This Row],[Capacity (mAh)
(Test '#1)]:[Capacity (mAh)
(Test '#4)]]),0),"")</f>
        <v/>
      </c>
      <c r="P20" s="11" t="str">
        <f>IFERROR(Table3[[#This Row],[Package Price
($)]]/Table3[[#This Row],[Package Quantity]],"")</f>
        <v/>
      </c>
      <c r="Q20" s="1" t="str">
        <f>IFERROR(Table3[[#This Row],[Capacity (mAh)
(Averaged)]]/Table3[[#This Row],[Price per battery
($)]],"")</f>
        <v/>
      </c>
    </row>
    <row r="21" spans="1:17" x14ac:dyDescent="0.25">
      <c r="A21" s="2"/>
      <c r="B21" s="2" t="s">
        <v>7</v>
      </c>
      <c r="C21" s="2"/>
      <c r="D21" s="2"/>
      <c r="E21" s="2"/>
      <c r="F21" s="2"/>
      <c r="G21" s="2"/>
      <c r="H21" s="2"/>
      <c r="I21" s="3"/>
      <c r="J21" s="3"/>
      <c r="K21" s="3"/>
      <c r="L21" s="3"/>
      <c r="M21" s="1" t="str">
        <f>IFERROR(ROUND(AVERAGE(Table3[[#This Row],[Capacity (mAh)
(Test '#1)]:[Capacity (mAh)
(Test '#4)]]),0),"")</f>
        <v/>
      </c>
      <c r="P21" s="11" t="str">
        <f>IFERROR(Table3[[#This Row],[Package Price
($)]]/Table3[[#This Row],[Package Quantity]],"")</f>
        <v/>
      </c>
      <c r="Q21" s="1" t="str">
        <f>IFERROR(Table3[[#This Row],[Capacity (mAh)
(Averaged)]]/Table3[[#This Row],[Price per battery
($)]],"")</f>
        <v/>
      </c>
    </row>
    <row r="22" spans="1:17" x14ac:dyDescent="0.25">
      <c r="A22" s="2"/>
      <c r="B22" s="2" t="s">
        <v>7</v>
      </c>
      <c r="C22" s="2"/>
      <c r="D22" s="2"/>
      <c r="E22" s="2"/>
      <c r="F22" s="2"/>
      <c r="G22" s="2"/>
      <c r="H22" s="2"/>
      <c r="I22" s="3"/>
      <c r="J22" s="3"/>
      <c r="K22" s="3"/>
      <c r="L22" s="3"/>
      <c r="M22" s="1" t="str">
        <f>IFERROR(ROUND(AVERAGE(Table3[[#This Row],[Capacity (mAh)
(Test '#1)]:[Capacity (mAh)
(Test '#4)]]),0),"")</f>
        <v/>
      </c>
      <c r="P22" s="11" t="str">
        <f>IFERROR(Table3[[#This Row],[Package Price
($)]]/Table3[[#This Row],[Package Quantity]],"")</f>
        <v/>
      </c>
      <c r="Q22" s="1" t="str">
        <f>IFERROR(Table3[[#This Row],[Capacity (mAh)
(Averaged)]]/Table3[[#This Row],[Price per battery
($)]],"")</f>
        <v/>
      </c>
    </row>
    <row r="23" spans="1:17" x14ac:dyDescent="0.25">
      <c r="A23" s="2"/>
      <c r="B23" s="2" t="s">
        <v>7</v>
      </c>
      <c r="C23" s="2"/>
      <c r="D23" s="2"/>
      <c r="E23" s="2"/>
      <c r="F23" s="2"/>
      <c r="G23" s="2"/>
      <c r="H23" s="2"/>
      <c r="I23" s="3"/>
      <c r="J23" s="3"/>
      <c r="K23" s="3"/>
      <c r="L23" s="3"/>
      <c r="M23" s="1" t="str">
        <f>IFERROR(ROUND(AVERAGE(Table3[[#This Row],[Capacity (mAh)
(Test '#1)]:[Capacity (mAh)
(Test '#4)]]),0),"")</f>
        <v/>
      </c>
      <c r="P23" s="11" t="str">
        <f>IFERROR(Table3[[#This Row],[Package Price
($)]]/Table3[[#This Row],[Package Quantity]],"")</f>
        <v/>
      </c>
      <c r="Q23" s="1" t="str">
        <f>IFERROR(Table3[[#This Row],[Capacity (mAh)
(Averaged)]]/Table3[[#This Row],[Price per battery
($)]],"")</f>
        <v/>
      </c>
    </row>
    <row r="24" spans="1:17" x14ac:dyDescent="0.25">
      <c r="A24" s="2"/>
      <c r="B24" s="2" t="s">
        <v>7</v>
      </c>
      <c r="C24" s="2"/>
      <c r="D24" s="2"/>
      <c r="E24" s="2"/>
      <c r="F24" s="2"/>
      <c r="G24" s="2"/>
      <c r="H24" s="2"/>
      <c r="I24" s="3"/>
      <c r="J24" s="3"/>
      <c r="K24" s="3"/>
      <c r="L24" s="3"/>
      <c r="M24" s="1" t="str">
        <f>IFERROR(ROUND(AVERAGE(Table3[[#This Row],[Capacity (mAh)
(Test '#1)]:[Capacity (mAh)
(Test '#4)]]),0),"")</f>
        <v/>
      </c>
      <c r="P24" s="11" t="str">
        <f>IFERROR(Table3[[#This Row],[Package Price
($)]]/Table3[[#This Row],[Package Quantity]],"")</f>
        <v/>
      </c>
      <c r="Q24" s="1" t="str">
        <f>IFERROR(Table3[[#This Row],[Capacity (mAh)
(Averaged)]]/Table3[[#This Row],[Price per battery
($)]],"")</f>
        <v/>
      </c>
    </row>
    <row r="25" spans="1:17" x14ac:dyDescent="0.25">
      <c r="A25" s="2"/>
      <c r="B25" s="2" t="s">
        <v>7</v>
      </c>
      <c r="C25" s="2"/>
      <c r="D25" s="2"/>
      <c r="E25" s="2"/>
      <c r="F25" s="2"/>
      <c r="G25" s="2"/>
      <c r="H25" s="2"/>
      <c r="I25" s="3"/>
      <c r="J25" s="3"/>
      <c r="K25" s="3"/>
      <c r="L25" s="3"/>
      <c r="M25" s="1" t="str">
        <f>IFERROR(ROUND(AVERAGE(Table3[[#This Row],[Capacity (mAh)
(Test '#1)]:[Capacity (mAh)
(Test '#4)]]),0),"")</f>
        <v/>
      </c>
      <c r="P25" s="11" t="str">
        <f>IFERROR(Table3[[#This Row],[Package Price
($)]]/Table3[[#This Row],[Package Quantity]],"")</f>
        <v/>
      </c>
      <c r="Q25" s="1" t="str">
        <f>IFERROR(Table3[[#This Row],[Capacity (mAh)
(Averaged)]]/Table3[[#This Row],[Price per battery
($)]],"")</f>
        <v/>
      </c>
    </row>
  </sheetData>
  <conditionalFormatting sqref="M2:M25">
    <cfRule type="colorScale" priority="1">
      <colorScale>
        <cfvo type="min"/>
        <cfvo type="percentile" val="50"/>
        <cfvo type="max"/>
        <color rgb="FFFCCCCD"/>
        <color rgb="FFFFF4BD"/>
        <color rgb="FFC9E9D1"/>
      </colorScale>
    </cfRule>
  </conditionalFormatting>
  <pageMargins left="0.7" right="0.7" top="0.75" bottom="0.75" header="0.3" footer="0.3"/>
  <pageSetup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D4079-DC30-422D-A8A8-08ECD8BF2C74}">
  <dimension ref="A1:A20"/>
  <sheetViews>
    <sheetView workbookViewId="0">
      <selection activeCell="A8" sqref="A8"/>
    </sheetView>
  </sheetViews>
  <sheetFormatPr defaultRowHeight="15.75" x14ac:dyDescent="0.3"/>
  <cols>
    <col min="1" max="1" width="231.28515625" style="7" bestFit="1" customWidth="1"/>
    <col min="2" max="16384" width="9.140625" style="7"/>
  </cols>
  <sheetData>
    <row r="1" spans="1:1" ht="22.5" customHeight="1" x14ac:dyDescent="0.35">
      <c r="A1" s="6" t="s">
        <v>28</v>
      </c>
    </row>
    <row r="2" spans="1:1" ht="22.5" customHeight="1" x14ac:dyDescent="0.3">
      <c r="A2" s="7" t="s">
        <v>29</v>
      </c>
    </row>
    <row r="3" spans="1:1" ht="22.5" customHeight="1" x14ac:dyDescent="0.3">
      <c r="A3" s="7" t="s">
        <v>26</v>
      </c>
    </row>
    <row r="4" spans="1:1" ht="22.5" customHeight="1" x14ac:dyDescent="0.3">
      <c r="A4" s="7" t="s">
        <v>27</v>
      </c>
    </row>
    <row r="5" spans="1:1" ht="22.5" customHeight="1" x14ac:dyDescent="0.3">
      <c r="A5" s="7" t="s">
        <v>30</v>
      </c>
    </row>
    <row r="6" spans="1:1" ht="22.5" customHeight="1" x14ac:dyDescent="0.3">
      <c r="A6" s="7" t="s">
        <v>31</v>
      </c>
    </row>
    <row r="7" spans="1:1" ht="22.5" customHeight="1" x14ac:dyDescent="0.3">
      <c r="A7" s="7" t="s">
        <v>32</v>
      </c>
    </row>
    <row r="8" spans="1:1" ht="22.5" customHeight="1" x14ac:dyDescent="0.3">
      <c r="A8" s="7" t="s">
        <v>34</v>
      </c>
    </row>
    <row r="9" spans="1:1" ht="22.5" customHeight="1" x14ac:dyDescent="0.3"/>
    <row r="10" spans="1:1" ht="22.5" customHeight="1" x14ac:dyDescent="0.3"/>
    <row r="11" spans="1:1" ht="22.5" customHeight="1" x14ac:dyDescent="0.3"/>
    <row r="12" spans="1:1" ht="22.5" customHeight="1" x14ac:dyDescent="0.3"/>
    <row r="13" spans="1:1" ht="22.5" customHeight="1" x14ac:dyDescent="0.3"/>
    <row r="14" spans="1:1" ht="22.5" customHeight="1" x14ac:dyDescent="0.3"/>
    <row r="15" spans="1:1" ht="22.5" customHeight="1" x14ac:dyDescent="0.3"/>
    <row r="16" spans="1:1" ht="22.5" customHeight="1" x14ac:dyDescent="0.3"/>
    <row r="17" s="7" customFormat="1" ht="22.5" customHeight="1" x14ac:dyDescent="0.3"/>
    <row r="18" s="7" customFormat="1" ht="22.5" customHeight="1" x14ac:dyDescent="0.3"/>
    <row r="19" s="7" customFormat="1" ht="22.5" customHeight="1" x14ac:dyDescent="0.3"/>
    <row r="20" s="7" customFormat="1" ht="22.5" customHeight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AA Batteries</vt:lpstr>
      <vt:lpstr>AAA Batteries</vt:lpstr>
      <vt:lpstr>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Cavallo</dc:creator>
  <cp:lastModifiedBy>Matt Cavallo</cp:lastModifiedBy>
  <cp:lastPrinted>2024-01-12T07:32:00Z</cp:lastPrinted>
  <dcterms:created xsi:type="dcterms:W3CDTF">2023-12-30T04:08:43Z</dcterms:created>
  <dcterms:modified xsi:type="dcterms:W3CDTF">2026-10-07T12:20:32Z</dcterms:modified>
</cp:coreProperties>
</file>